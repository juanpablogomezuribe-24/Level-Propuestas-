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SL EN EL MUNDIAL" sheetId="1" r:id="rId5"/>
    <sheet state="visible" name="FASE DE GRUPOS" sheetId="2" r:id="rId6"/>
  </sheets>
  <definedNames/>
  <calcPr/>
</workbook>
</file>

<file path=xl/sharedStrings.xml><?xml version="1.0" encoding="utf-8"?>
<sst xmlns="http://schemas.openxmlformats.org/spreadsheetml/2006/main" count="282" uniqueCount="122">
  <si>
    <t>#</t>
  </si>
  <si>
    <t>Contenido</t>
  </si>
  <si>
    <t>Reproducciones</t>
  </si>
  <si>
    <t>Me gusta</t>
  </si>
  <si>
    <t>Comentarios</t>
  </si>
  <si>
    <t>Influencer</t>
  </si>
  <si>
    <t>Compartidas</t>
  </si>
  <si>
    <t>Reposts</t>
  </si>
  <si>
    <t>Guardadas</t>
  </si>
  <si>
    <t>Total Interacciones</t>
  </si>
  <si>
    <t>https://www.instagram.com/reel/DaS5IvdhWQk/</t>
  </si>
  <si>
    <t>https://www.instagram.com/p/DZEIgGAkQYf/?img_index=1</t>
  </si>
  <si>
    <t>La liendra</t>
  </si>
  <si>
    <t>3,300.000</t>
  </si>
  <si>
    <t>Historia 1</t>
  </si>
  <si>
    <t>https://www.instagram.com/p/DZTAMq2xJTi/</t>
  </si>
  <si>
    <t>NA</t>
  </si>
  <si>
    <t>Historia 2</t>
  </si>
  <si>
    <t>https://www.instagram.com/p/DZbOBC_RzEb/</t>
  </si>
  <si>
    <t>Historia 3</t>
  </si>
  <si>
    <t>Historia 4</t>
  </si>
  <si>
    <t>https://www.instagram.com/p/DZoLNNgxI8l/</t>
  </si>
  <si>
    <t>https://www.instagram.com/p/DadtNJZP1wT/</t>
  </si>
  <si>
    <t>1,800.000</t>
  </si>
  <si>
    <t>https://www.instagram.com/p/DZqiQ9KIPFt/</t>
  </si>
  <si>
    <t>Historia 5</t>
  </si>
  <si>
    <t>https://www.instagram.com/p/DZsIiABRnKU/</t>
  </si>
  <si>
    <t>historia 6</t>
  </si>
  <si>
    <t>Historia 7</t>
  </si>
  <si>
    <t>https://www.instagram.com/p/DZsgknXRSkq/</t>
  </si>
  <si>
    <t>Historia 8</t>
  </si>
  <si>
    <t>https://www.instagram.com/p/DaohB5XxcpE/</t>
  </si>
  <si>
    <t>2,500.000</t>
  </si>
  <si>
    <t>https://www.instagram.com/p/DZt15T5A0U7/</t>
  </si>
  <si>
    <t>Historia 9</t>
  </si>
  <si>
    <t>Historia 10</t>
  </si>
  <si>
    <t>https://www.instagram.com/p/DZt4mOhowEf/</t>
  </si>
  <si>
    <t>Historia 11</t>
  </si>
  <si>
    <t>https://www.instagram.com/p/DZuv3RVRZ-1/</t>
  </si>
  <si>
    <t>Historia 12</t>
  </si>
  <si>
    <t>Historia 13</t>
  </si>
  <si>
    <t>https://www.instagram.com/p/DZvNvxWx1Hh/</t>
  </si>
  <si>
    <t>https://www.instagram.com/reels/Day6sBMxMza/</t>
  </si>
  <si>
    <t>https://www.instagram.com/p/DZvpnhfkVD2/?img_index=1</t>
  </si>
  <si>
    <t>Historia 14</t>
  </si>
  <si>
    <t>https://www.instagram.com/p/DZxHyAaKLya/</t>
  </si>
  <si>
    <t>Historia 15</t>
  </si>
  <si>
    <t>Historia 16</t>
  </si>
  <si>
    <t>https://www.instagram.com/p/DZz2kP-IHeM/</t>
  </si>
  <si>
    <t>https://www.instagram.com/reel/Da8mv0SvzXf/?igsh=MTRodmF2YXFxb29wYw==</t>
  </si>
  <si>
    <t>https://www.instagram.com/p/DZ47ggxRL4F/</t>
  </si>
  <si>
    <t>https://www.instagram.com/p/DZ6Bwhvp17E/</t>
  </si>
  <si>
    <t>Historia 17</t>
  </si>
  <si>
    <t>https://www.instagram.com/p/Dadcv0_uxXG/</t>
  </si>
  <si>
    <t>https://www.instagram.com/p/DZ8QUttRAKt/</t>
  </si>
  <si>
    <t>Juan Felipe</t>
  </si>
  <si>
    <t>https://www.instagram.com/p/DZ9MdFOA-Vz/</t>
  </si>
  <si>
    <t>https://www.instagram.com/p/DaoNLNfOKA9/</t>
  </si>
  <si>
    <t>https://www.instagram.com/p/DZ-HLSrxEIP/</t>
  </si>
  <si>
    <t>https://www.instagram.com/p/DaxtQppOA9w/</t>
  </si>
  <si>
    <t>https://www.instagram.com/p/DZ-SpJ0R-oj/</t>
  </si>
  <si>
    <t>https://www.instagram.com/reel/Da6f7XPvx9f/?igsh=bzdzbGdnd2NxYXNx</t>
  </si>
  <si>
    <t>https://www.instagram.com/p/DaAt0oAxNfF/</t>
  </si>
  <si>
    <t>https://www.instagram.com/p/Dadeh4NJgRo/</t>
  </si>
  <si>
    <t>https://www.instagram.com/p/DaDS0nnRa3G/</t>
  </si>
  <si>
    <t>Eduardo Luis</t>
  </si>
  <si>
    <t>2,000.000</t>
  </si>
  <si>
    <t>https://www.instagram.com/p/DaocH0tg-xF/</t>
  </si>
  <si>
    <t>https://www.instagram.com/p/DaD3CCcRNLg/</t>
  </si>
  <si>
    <t>https://www.instagram.com/p/DaGE8RDRxJm/</t>
  </si>
  <si>
    <t>https://www.instagram.com/p/Daxk6DLOMUr/</t>
  </si>
  <si>
    <t>https://www.instagram.com/p/DaGYpPER-kO/</t>
  </si>
  <si>
    <t>https://www.instagram.com/reel/Da56ymbAgD_/?igsh=MXI1MzFyNGJud2o1Nw==</t>
  </si>
  <si>
    <t>https://www.instagram.com/p/DaHN9Hnxiwz/</t>
  </si>
  <si>
    <t>https://www.instagram.com/p/DadiWS-xxu5/</t>
  </si>
  <si>
    <t>Opina con fútbol</t>
  </si>
  <si>
    <t>https://www.instagram.com/p/DaHPmaWxMnH/</t>
  </si>
  <si>
    <t>https://www.instagram.com/reel/Davz2xFqpJ1/?igsh=MWtnMG1xZmttZGc2dw==</t>
  </si>
  <si>
    <t>https://www.instagram.com/reel/Da6UU2-KV2y/?igsh=cDNkNnZ6dHQ3MjZo</t>
  </si>
  <si>
    <t>https://www.instagram.com/p/DaSossuxfHb/</t>
  </si>
  <si>
    <t>https://www.instagram.com/p/DaVx44knGJ6/?igsh=ZDFobHp0Yzd5OTg0</t>
  </si>
  <si>
    <t>https://www.instagram.com/p/DaT5IuupHHb/</t>
  </si>
  <si>
    <t xml:space="preserve">Goles en directo </t>
  </si>
  <si>
    <t>https://www.instagram.com/p/DaWWcG_BhiI/</t>
  </si>
  <si>
    <t>https://www.instagram.com/reel/DaVz491RVc1/?igsh=YmJpd2xic2hmOTdq</t>
  </si>
  <si>
    <t>FSL</t>
  </si>
  <si>
    <t>https://www.instagram.com/p/Dac6__QxhSF/</t>
  </si>
  <si>
    <t>https://www.instagram.com/p/DadsW8kR_nh/</t>
  </si>
  <si>
    <t>https://www.instagram.com/p/DaoJdGfRlFt/</t>
  </si>
  <si>
    <t>https://www.instagram.com/p/Dav-t_TRXZT/</t>
  </si>
  <si>
    <t>https://www.instagram.com/p/Dadw9vnSweZ/</t>
  </si>
  <si>
    <t>Samuel Beleño</t>
  </si>
  <si>
    <t>https://www.instagram.com/p/DaoXGdlpHBb/</t>
  </si>
  <si>
    <t>https://www.instagram.com/p/DayGLITJggY/</t>
  </si>
  <si>
    <t>https://www.instagram.com/reel/Da6Bc-SyUgv/?igsh=MWdqZHZlMGl3dGRjNg==</t>
  </si>
  <si>
    <t>https://www.instagram.com/p/Dad4MSOAN9G/</t>
  </si>
  <si>
    <t>Laura</t>
  </si>
  <si>
    <t>https://www.instagram.com/p/DaoDXXQg8m1/</t>
  </si>
  <si>
    <t>https://www.instagram.com/p/DalIvcGysdo/</t>
  </si>
  <si>
    <t>https://www.instagram.com/p/DavxWDUA1TY/</t>
  </si>
  <si>
    <t>https://www.instagram.com/p/Dad9aoupbp0/</t>
  </si>
  <si>
    <t>Chubby</t>
  </si>
  <si>
    <t>https://www.instagram.com/p/DaoOWk4pwKs/</t>
  </si>
  <si>
    <t>https://www.instagram.com/p/DaxyHpQuSfS/</t>
  </si>
  <si>
    <t>https://www.instagram.com/p/DalGaFCubE4/</t>
  </si>
  <si>
    <t>El Mundo de Juancho</t>
  </si>
  <si>
    <t>https://www.instagram.com/reel/Dad8ouchOM-/</t>
  </si>
  <si>
    <t>https://www.instagram.com/reel/Daydy6wvr5m/?igsh=ZWVydm16aTF6bmU4</t>
  </si>
  <si>
    <t>https://www.instagram.com/reel/DaV8T87MztJ/</t>
  </si>
  <si>
    <t>https://www.instagram.com/reel/Da6R07ypk-C/?igsh=MW5ydGdrc3RqZHIzZQ==</t>
  </si>
  <si>
    <t>HISTORIA</t>
  </si>
  <si>
    <t>https://www.instagram.com/p/DaoUtA2Sjva/</t>
  </si>
  <si>
    <t>Sheyla</t>
  </si>
  <si>
    <t>https://www.instagram.com/reel/Dax8AidSXF4/?igsh=cG5zNXE2eGVtbzU0</t>
  </si>
  <si>
    <t>https://www.instagram.com/reel/Da57Rr4SBtU/?igsh=eTlyMnV0aTU4N3kx</t>
  </si>
  <si>
    <t>https://www.instagram.com/reel/Da6VPp1iZul/?igsh=MWUxbjFmeWJ2d216OQ==</t>
  </si>
  <si>
    <t>Flecha Deportes</t>
  </si>
  <si>
    <t>https://www.instagram.com/p/Davz88uiK5p/</t>
  </si>
  <si>
    <t>https://www.instagram.com/reel/Da8DN5YqqEc/?igsh=MWJ1cWVnMXZqMmh0ZA==</t>
  </si>
  <si>
    <t>Sebastucho</t>
  </si>
  <si>
    <t>https://www.instagram.com/reel/Da6WMIypsAy/?igsh=d2UwaG13eDAxY2V2</t>
  </si>
  <si>
    <t>Felipe Florez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</si>
</sst>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</font>
    <font>
      <b/>
      <sz val="9.0"/>
      <color rgb="FFFFFFFF"/>
      <name val="Montserrat"/>
    </font>
    <font/>
    <font>
      <b/>
      <sz val="9.0"/>
      <color theme="1"/>
      <name val="Montserrat"/>
    </font>
    <font>
      <u/>
      <color rgb="FF0000FF"/>
      <name val="Arial"/>
    </font>
    <font>
      <sz val="9.0"/>
      <color theme="1"/>
      <name val="Montserrat"/>
    </font>
    <font>
      <u/>
      <sz val="9.0"/>
      <color rgb="FFFFFFFF"/>
      <name val="Montserrat"/>
    </font>
    <font>
      <u/>
      <sz val="9.0"/>
      <color rgb="FF0000FF"/>
      <name val="Montserrat"/>
    </font>
    <font>
      <color theme="1"/>
      <name val="Montserrat"/>
    </font>
    <font>
      <u/>
      <color rgb="FF0000FF"/>
      <name val="Arial"/>
    </font>
    <font>
      <u/>
      <color rgb="FFFFFFFF"/>
      <name val="Arial"/>
    </font>
    <font>
      <u/>
      <sz val="9.0"/>
      <color rgb="FF1155CC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283639"/>
        <bgColor rgb="FF283639"/>
      </patternFill>
    </fill>
    <fill>
      <patternFill patternType="solid">
        <fgColor rgb="FF6D9EEB"/>
        <bgColor rgb="FF6D9EEB"/>
      </patternFill>
    </fill>
    <fill>
      <patternFill patternType="solid">
        <fgColor rgb="FF46BDC6"/>
        <bgColor rgb="FF46BDC6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6">
    <border/>
    <border>
      <left style="medium">
        <color rgb="FFFFFFFF"/>
      </left>
      <right style="medium">
        <color rgb="FFFFFFFF"/>
      </right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2" fillId="2" fontId="2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5" fillId="3" fontId="4" numFmtId="0" xfId="0" applyAlignment="1" applyBorder="1" applyFill="1" applyFont="1">
      <alignment horizontal="center" readingOrder="0" shrinkToFit="0" wrapText="1"/>
    </xf>
    <xf borderId="4" fillId="4" fontId="5" numFmtId="0" xfId="0" applyAlignment="1" applyBorder="1" applyFill="1" applyFont="1">
      <alignment readingOrder="0" vertical="bottom"/>
    </xf>
    <xf borderId="4" fillId="5" fontId="6" numFmtId="0" xfId="0" applyAlignment="1" applyBorder="1" applyFill="1" applyFont="1">
      <alignment horizontal="center" readingOrder="0" shrinkToFit="0" wrapText="1"/>
    </xf>
    <xf borderId="4" fillId="4" fontId="7" numFmtId="0" xfId="0" applyAlignment="1" applyBorder="1" applyFont="1">
      <alignment shrinkToFit="0" vertical="bottom" wrapText="1"/>
    </xf>
    <xf borderId="4" fillId="5" fontId="6" numFmtId="3" xfId="0" applyAlignment="1" applyBorder="1" applyFont="1" applyNumberFormat="1">
      <alignment horizontal="center" readingOrder="0"/>
    </xf>
    <xf borderId="4" fillId="5" fontId="6" numFmtId="0" xfId="0" applyAlignment="1" applyBorder="1" applyFont="1">
      <alignment horizontal="center" shrinkToFit="0" vertical="bottom" wrapText="1"/>
    </xf>
    <xf borderId="4" fillId="5" fontId="6" numFmtId="0" xfId="0" applyAlignment="1" applyBorder="1" applyFont="1">
      <alignment horizontal="center" readingOrder="0"/>
    </xf>
    <xf borderId="4" fillId="5" fontId="1" numFmtId="0" xfId="0" applyBorder="1" applyFont="1"/>
    <xf borderId="4" fillId="5" fontId="6" numFmtId="3" xfId="0" applyAlignment="1" applyBorder="1" applyFont="1" applyNumberFormat="1">
      <alignment horizontal="center" shrinkToFit="0" vertical="bottom" wrapText="1"/>
    </xf>
    <xf borderId="4" fillId="4" fontId="6" numFmtId="0" xfId="0" applyAlignment="1" applyBorder="1" applyFont="1">
      <alignment readingOrder="0" shrinkToFit="0" vertical="bottom" wrapText="1"/>
    </xf>
    <xf borderId="4" fillId="6" fontId="6" numFmtId="3" xfId="0" applyAlignment="1" applyBorder="1" applyFill="1" applyFont="1" applyNumberFormat="1">
      <alignment horizontal="center" readingOrder="0" shrinkToFit="0" vertical="bottom" wrapText="1"/>
    </xf>
    <xf borderId="4" fillId="5" fontId="6" numFmtId="0" xfId="0" applyAlignment="1" applyBorder="1" applyFont="1">
      <alignment horizontal="center" readingOrder="0" shrinkToFit="0" vertical="bottom" wrapText="1"/>
    </xf>
    <xf borderId="4" fillId="6" fontId="6" numFmtId="0" xfId="0" applyAlignment="1" applyBorder="1" applyFont="1">
      <alignment horizontal="center" readingOrder="0" shrinkToFit="0" vertical="bottom" wrapText="1"/>
    </xf>
    <xf borderId="4" fillId="4" fontId="8" numFmtId="0" xfId="0" applyAlignment="1" applyBorder="1" applyFont="1">
      <alignment readingOrder="0" shrinkToFit="0" vertical="bottom" wrapText="1"/>
    </xf>
    <xf borderId="4" fillId="5" fontId="6" numFmtId="3" xfId="0" applyAlignment="1" applyBorder="1" applyFont="1" applyNumberFormat="1">
      <alignment horizontal="center" readingOrder="0" shrinkToFit="0" vertical="bottom" wrapText="1"/>
    </xf>
    <xf borderId="4" fillId="4" fontId="1" numFmtId="0" xfId="0" applyAlignment="1" applyBorder="1" applyFont="1">
      <alignment readingOrder="0" vertical="bottom"/>
    </xf>
    <xf borderId="4" fillId="6" fontId="6" numFmtId="4" xfId="0" applyAlignment="1" applyBorder="1" applyFont="1" applyNumberFormat="1">
      <alignment horizontal="center" readingOrder="0" shrinkToFit="0" wrapText="1"/>
    </xf>
    <xf borderId="4" fillId="5" fontId="9" numFmtId="4" xfId="0" applyAlignment="1" applyBorder="1" applyFont="1" applyNumberFormat="1">
      <alignment readingOrder="0"/>
    </xf>
    <xf borderId="4" fillId="5" fontId="9" numFmtId="4" xfId="0" applyBorder="1" applyFont="1" applyNumberFormat="1"/>
    <xf borderId="4" fillId="7" fontId="6" numFmtId="0" xfId="0" applyAlignment="1" applyBorder="1" applyFill="1" applyFont="1">
      <alignment horizontal="center" shrinkToFit="0" vertical="bottom" wrapText="1"/>
    </xf>
    <xf borderId="4" fillId="5" fontId="6" numFmtId="4" xfId="0" applyAlignment="1" applyBorder="1" applyFont="1" applyNumberFormat="1">
      <alignment horizontal="center" shrinkToFit="0" vertical="bottom" wrapText="1"/>
    </xf>
    <xf borderId="4" fillId="4" fontId="1" numFmtId="0" xfId="0" applyAlignment="1" applyBorder="1" applyFont="1">
      <alignment readingOrder="0" shrinkToFit="0" vertical="bottom" wrapText="1"/>
    </xf>
    <xf borderId="4" fillId="4" fontId="10" numFmtId="0" xfId="0" applyAlignment="1" applyBorder="1" applyFont="1">
      <alignment readingOrder="0" shrinkToFit="0" vertical="bottom" wrapText="1"/>
    </xf>
    <xf borderId="4" fillId="5" fontId="6" numFmtId="4" xfId="0" applyAlignment="1" applyBorder="1" applyFont="1" applyNumberFormat="1">
      <alignment horizontal="center" readingOrder="0" shrinkToFit="0" wrapText="1"/>
    </xf>
    <xf borderId="4" fillId="5" fontId="6" numFmtId="3" xfId="0" applyAlignment="1" applyBorder="1" applyFont="1" applyNumberFormat="1">
      <alignment horizontal="center" readingOrder="0" shrinkToFit="0" wrapText="1"/>
    </xf>
    <xf borderId="4" fillId="5" fontId="6" numFmtId="0" xfId="0" applyAlignment="1" applyBorder="1" applyFont="1">
      <alignment horizontal="center" shrinkToFit="0" wrapText="1"/>
    </xf>
    <xf borderId="4" fillId="4" fontId="11" numFmtId="0" xfId="0" applyAlignment="1" applyBorder="1" applyFont="1">
      <alignment readingOrder="0" vertical="bottom"/>
    </xf>
    <xf borderId="4" fillId="5" fontId="9" numFmtId="0" xfId="0" applyAlignment="1" applyBorder="1" applyFont="1">
      <alignment horizontal="center" readingOrder="0"/>
    </xf>
    <xf borderId="4" fillId="4" fontId="1" numFmtId="0" xfId="0" applyAlignment="1" applyBorder="1" applyFont="1">
      <alignment vertical="bottom"/>
    </xf>
    <xf borderId="4" fillId="7" fontId="6" numFmtId="3" xfId="0" applyAlignment="1" applyBorder="1" applyFont="1" applyNumberFormat="1">
      <alignment horizontal="center" readingOrder="0" shrinkToFit="0" vertical="bottom" wrapText="1"/>
    </xf>
    <xf borderId="4" fillId="4" fontId="12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p/DZ-SpJ0R-oj/" TargetMode="External"/><Relationship Id="rId22" Type="http://schemas.openxmlformats.org/officeDocument/2006/relationships/hyperlink" Target="https://www.instagram.com/p/DaDS0nnRa3G/" TargetMode="External"/><Relationship Id="rId21" Type="http://schemas.openxmlformats.org/officeDocument/2006/relationships/hyperlink" Target="https://www.instagram.com/p/DaAt0oAxNfF/" TargetMode="External"/><Relationship Id="rId24" Type="http://schemas.openxmlformats.org/officeDocument/2006/relationships/hyperlink" Target="https://www.instagram.com/p/DaGE8RDRxJm/" TargetMode="External"/><Relationship Id="rId23" Type="http://schemas.openxmlformats.org/officeDocument/2006/relationships/hyperlink" Target="https://www.instagram.com/p/DaD3CCcRNLg/" TargetMode="External"/><Relationship Id="rId1" Type="http://schemas.openxmlformats.org/officeDocument/2006/relationships/hyperlink" Target="https://www.instagram.com/p/DZEIgGAkQYf/?img_index=1" TargetMode="External"/><Relationship Id="rId2" Type="http://schemas.openxmlformats.org/officeDocument/2006/relationships/hyperlink" Target="https://www.instagram.com/p/DZTAMq2xJTi/" TargetMode="External"/><Relationship Id="rId3" Type="http://schemas.openxmlformats.org/officeDocument/2006/relationships/hyperlink" Target="https://www.instagram.com/p/DZbOBC_RzEb/" TargetMode="External"/><Relationship Id="rId4" Type="http://schemas.openxmlformats.org/officeDocument/2006/relationships/hyperlink" Target="https://www.instagram.com/p/DZoLNNgxI8l/" TargetMode="External"/><Relationship Id="rId9" Type="http://schemas.openxmlformats.org/officeDocument/2006/relationships/hyperlink" Target="https://www.instagram.com/p/DZt4mOhowEf/" TargetMode="External"/><Relationship Id="rId26" Type="http://schemas.openxmlformats.org/officeDocument/2006/relationships/hyperlink" Target="https://www.instagram.com/p/DaHN9Hnxiwz/" TargetMode="External"/><Relationship Id="rId25" Type="http://schemas.openxmlformats.org/officeDocument/2006/relationships/hyperlink" Target="https://www.instagram.com/p/DaGYpPER-kO/" TargetMode="External"/><Relationship Id="rId28" Type="http://schemas.openxmlformats.org/officeDocument/2006/relationships/hyperlink" Target="https://www.instagram.com/p/DaSossuxfHb/" TargetMode="External"/><Relationship Id="rId27" Type="http://schemas.openxmlformats.org/officeDocument/2006/relationships/hyperlink" Target="https://www.instagram.com/p/DaHPmaWxMnH/" TargetMode="External"/><Relationship Id="rId5" Type="http://schemas.openxmlformats.org/officeDocument/2006/relationships/hyperlink" Target="https://www.instagram.com/p/DZqiQ9KIPFt/" TargetMode="External"/><Relationship Id="rId6" Type="http://schemas.openxmlformats.org/officeDocument/2006/relationships/hyperlink" Target="https://www.instagram.com/p/DZsIiABRnKU/" TargetMode="External"/><Relationship Id="rId29" Type="http://schemas.openxmlformats.org/officeDocument/2006/relationships/hyperlink" Target="https://www.instagram.com/p/DaT5IuupHHb/" TargetMode="External"/><Relationship Id="rId7" Type="http://schemas.openxmlformats.org/officeDocument/2006/relationships/hyperlink" Target="https://www.instagram.com/p/DZsgknXRSkq/" TargetMode="External"/><Relationship Id="rId8" Type="http://schemas.openxmlformats.org/officeDocument/2006/relationships/hyperlink" Target="https://www.instagram.com/p/DZt15T5A0U7/" TargetMode="External"/><Relationship Id="rId31" Type="http://schemas.openxmlformats.org/officeDocument/2006/relationships/hyperlink" Target="https://www.instagram.com/p/Dac6__QxhSF/" TargetMode="External"/><Relationship Id="rId30" Type="http://schemas.openxmlformats.org/officeDocument/2006/relationships/hyperlink" Target="https://www.instagram.com/p/DaWWcG_BhiI/" TargetMode="External"/><Relationship Id="rId11" Type="http://schemas.openxmlformats.org/officeDocument/2006/relationships/hyperlink" Target="https://www.instagram.com/p/DZvNvxWx1Hh/" TargetMode="External"/><Relationship Id="rId10" Type="http://schemas.openxmlformats.org/officeDocument/2006/relationships/hyperlink" Target="https://www.instagram.com/p/DZuv3RVRZ-1/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instagram.com/p/DZxHyAaKLya/" TargetMode="External"/><Relationship Id="rId12" Type="http://schemas.openxmlformats.org/officeDocument/2006/relationships/hyperlink" Target="https://www.instagram.com/p/DZvpnhfkVD2/?img_index=1" TargetMode="External"/><Relationship Id="rId15" Type="http://schemas.openxmlformats.org/officeDocument/2006/relationships/hyperlink" Target="https://www.instagram.com/p/DZ47ggxRL4F/" TargetMode="External"/><Relationship Id="rId14" Type="http://schemas.openxmlformats.org/officeDocument/2006/relationships/hyperlink" Target="https://www.instagram.com/p/DZz2kP-IHeM/" TargetMode="External"/><Relationship Id="rId17" Type="http://schemas.openxmlformats.org/officeDocument/2006/relationships/hyperlink" Target="https://www.instagram.com/p/DZ8QUttRAKt/" TargetMode="External"/><Relationship Id="rId16" Type="http://schemas.openxmlformats.org/officeDocument/2006/relationships/hyperlink" Target="https://www.instagram.com/p/DZ6Bwhvp17E/" TargetMode="External"/><Relationship Id="rId19" Type="http://schemas.openxmlformats.org/officeDocument/2006/relationships/hyperlink" Target="https://www.instagram.com/p/DZ-HLSrxEIP/" TargetMode="External"/><Relationship Id="rId18" Type="http://schemas.openxmlformats.org/officeDocument/2006/relationships/hyperlink" Target="https://www.instagram.com/p/DZ9MdFOA-Vz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reel/Da57Rr4SBtU/?igsh=eTlyMnV0aTU4N3kx" TargetMode="External"/><Relationship Id="rId20" Type="http://schemas.openxmlformats.org/officeDocument/2006/relationships/hyperlink" Target="https://www.instagram.com/p/DaoJdGfRlFt/" TargetMode="External"/><Relationship Id="rId42" Type="http://schemas.openxmlformats.org/officeDocument/2006/relationships/hyperlink" Target="https://www.instagram.com/p/Davz88uiK5p/" TargetMode="External"/><Relationship Id="rId41" Type="http://schemas.openxmlformats.org/officeDocument/2006/relationships/hyperlink" Target="https://www.instagram.com/reel/Da6VPp1iZul/?igsh=MWUxbjFmeWJ2d216OQ==" TargetMode="External"/><Relationship Id="rId22" Type="http://schemas.openxmlformats.org/officeDocument/2006/relationships/hyperlink" Target="https://www.instagram.com/p/Dadw9vnSweZ/" TargetMode="External"/><Relationship Id="rId44" Type="http://schemas.openxmlformats.org/officeDocument/2006/relationships/hyperlink" Target="https://www.instagram.com/reel/Da6WMIypsAy/?igsh=d2UwaG13eDAxY2V2" TargetMode="External"/><Relationship Id="rId21" Type="http://schemas.openxmlformats.org/officeDocument/2006/relationships/hyperlink" Target="https://www.instagram.com/p/Dav-t_TRXZT/" TargetMode="External"/><Relationship Id="rId43" Type="http://schemas.openxmlformats.org/officeDocument/2006/relationships/hyperlink" Target="https://www.instagram.com/reel/Da8DN5YqqEc/?igsh=MWJ1cWVnMXZqMmh0ZA==" TargetMode="External"/><Relationship Id="rId24" Type="http://schemas.openxmlformats.org/officeDocument/2006/relationships/hyperlink" Target="https://www.instagram.com/p/DayGLITJggY/" TargetMode="External"/><Relationship Id="rId23" Type="http://schemas.openxmlformats.org/officeDocument/2006/relationships/hyperlink" Target="https://www.instagram.com/p/DaoXGdlpHBb/" TargetMode="External"/><Relationship Id="rId45" Type="http://schemas.openxmlformats.org/officeDocument/2006/relationships/drawing" Target="../drawings/drawing2.xml"/><Relationship Id="rId1" Type="http://schemas.openxmlformats.org/officeDocument/2006/relationships/hyperlink" Target="https://www.instagram.com/reel/DaS5IvdhWQk/" TargetMode="External"/><Relationship Id="rId2" Type="http://schemas.openxmlformats.org/officeDocument/2006/relationships/hyperlink" Target="https://www.instagram.com/p/DadtNJZP1wT/" TargetMode="External"/><Relationship Id="rId3" Type="http://schemas.openxmlformats.org/officeDocument/2006/relationships/hyperlink" Target="https://www.instagram.com/p/DaohB5XxcpE/" TargetMode="External"/><Relationship Id="rId4" Type="http://schemas.openxmlformats.org/officeDocument/2006/relationships/hyperlink" Target="https://www.instagram.com/reels/Day6sBMxMza/" TargetMode="External"/><Relationship Id="rId9" Type="http://schemas.openxmlformats.org/officeDocument/2006/relationships/hyperlink" Target="https://www.instagram.com/reel/Da6f7XPvx9f/?igsh=bzdzbGdnd2NxYXNx" TargetMode="External"/><Relationship Id="rId26" Type="http://schemas.openxmlformats.org/officeDocument/2006/relationships/hyperlink" Target="https://www.instagram.com/p/Dad4MSOAN9G/" TargetMode="External"/><Relationship Id="rId25" Type="http://schemas.openxmlformats.org/officeDocument/2006/relationships/hyperlink" Target="https://www.instagram.com/reel/Da6Bc-SyUgv/?igsh=MWdqZHZlMGl3dGRjNg==" TargetMode="External"/><Relationship Id="rId28" Type="http://schemas.openxmlformats.org/officeDocument/2006/relationships/hyperlink" Target="https://www.instagram.com/p/DalIvcGysdo/" TargetMode="External"/><Relationship Id="rId27" Type="http://schemas.openxmlformats.org/officeDocument/2006/relationships/hyperlink" Target="https://www.instagram.com/p/DaoDXXQg8m1/" TargetMode="External"/><Relationship Id="rId5" Type="http://schemas.openxmlformats.org/officeDocument/2006/relationships/hyperlink" Target="https://www.instagram.com/reel/Da8mv0SvzXf/?igsh=MTRodmF2YXFxb29wYw==" TargetMode="External"/><Relationship Id="rId6" Type="http://schemas.openxmlformats.org/officeDocument/2006/relationships/hyperlink" Target="https://www.instagram.com/p/Dadcv0_uxXG/" TargetMode="External"/><Relationship Id="rId29" Type="http://schemas.openxmlformats.org/officeDocument/2006/relationships/hyperlink" Target="https://www.instagram.com/p/DavxWDUA1TY/" TargetMode="External"/><Relationship Id="rId7" Type="http://schemas.openxmlformats.org/officeDocument/2006/relationships/hyperlink" Target="https://www.instagram.com/p/DaoNLNfOKA9/" TargetMode="External"/><Relationship Id="rId8" Type="http://schemas.openxmlformats.org/officeDocument/2006/relationships/hyperlink" Target="https://www.instagram.com/p/DaxtQppOA9w/" TargetMode="External"/><Relationship Id="rId31" Type="http://schemas.openxmlformats.org/officeDocument/2006/relationships/hyperlink" Target="https://www.instagram.com/p/DaoOWk4pwKs/" TargetMode="External"/><Relationship Id="rId30" Type="http://schemas.openxmlformats.org/officeDocument/2006/relationships/hyperlink" Target="https://www.instagram.com/p/Dad9aoupbp0/" TargetMode="External"/><Relationship Id="rId11" Type="http://schemas.openxmlformats.org/officeDocument/2006/relationships/hyperlink" Target="https://www.instagram.com/p/DaocH0tg-xF/" TargetMode="External"/><Relationship Id="rId33" Type="http://schemas.openxmlformats.org/officeDocument/2006/relationships/hyperlink" Target="https://www.instagram.com/p/DalGaFCubE4/" TargetMode="External"/><Relationship Id="rId10" Type="http://schemas.openxmlformats.org/officeDocument/2006/relationships/hyperlink" Target="https://www.instagram.com/p/Dadeh4NJgRo/" TargetMode="External"/><Relationship Id="rId32" Type="http://schemas.openxmlformats.org/officeDocument/2006/relationships/hyperlink" Target="https://www.instagram.com/p/DaxyHpQuSfS/" TargetMode="External"/><Relationship Id="rId13" Type="http://schemas.openxmlformats.org/officeDocument/2006/relationships/hyperlink" Target="https://www.instagram.com/reel/Da56ymbAgD_/?igsh=MXI1MzFyNGJud2o1Nw==" TargetMode="External"/><Relationship Id="rId35" Type="http://schemas.openxmlformats.org/officeDocument/2006/relationships/hyperlink" Target="https://www.instagram.com/reel/Daydy6wvr5m/?igsh=ZWVydm16aTF6bmU4" TargetMode="External"/><Relationship Id="rId12" Type="http://schemas.openxmlformats.org/officeDocument/2006/relationships/hyperlink" Target="https://www.instagram.com/p/Daxk6DLOMUr/" TargetMode="External"/><Relationship Id="rId34" Type="http://schemas.openxmlformats.org/officeDocument/2006/relationships/hyperlink" Target="https://www.instagram.com/reel/Dad8ouchOM-/" TargetMode="External"/><Relationship Id="rId15" Type="http://schemas.openxmlformats.org/officeDocument/2006/relationships/hyperlink" Target="https://www.instagram.com/reel/Davz2xFqpJ1/?igsh=MWtnMG1xZmttZGc2dw==" TargetMode="External"/><Relationship Id="rId37" Type="http://schemas.openxmlformats.org/officeDocument/2006/relationships/hyperlink" Target="https://www.instagram.com/reel/Da6R07ypk-C/?igsh=MW5ydGdrc3RqZHIzZQ==" TargetMode="External"/><Relationship Id="rId14" Type="http://schemas.openxmlformats.org/officeDocument/2006/relationships/hyperlink" Target="https://www.instagram.com/p/DadiWS-xxu5/" TargetMode="External"/><Relationship Id="rId36" Type="http://schemas.openxmlformats.org/officeDocument/2006/relationships/hyperlink" Target="https://www.instagram.com/reel/DaV8T87MztJ/" TargetMode="External"/><Relationship Id="rId17" Type="http://schemas.openxmlformats.org/officeDocument/2006/relationships/hyperlink" Target="https://www.instagram.com/p/DaVx44knGJ6/?igsh=ZDFobHp0Yzd5OTg0" TargetMode="External"/><Relationship Id="rId39" Type="http://schemas.openxmlformats.org/officeDocument/2006/relationships/hyperlink" Target="https://www.instagram.com/reel/Dax8AidSXF4/?igsh=cG5zNXE2eGVtbzU0" TargetMode="External"/><Relationship Id="rId16" Type="http://schemas.openxmlformats.org/officeDocument/2006/relationships/hyperlink" Target="https://www.instagram.com/reel/Da6UU2-KV2y/?igsh=cDNkNnZ6dHQ3MjZo" TargetMode="External"/><Relationship Id="rId38" Type="http://schemas.openxmlformats.org/officeDocument/2006/relationships/hyperlink" Target="https://www.instagram.com/p/DaoUtA2Sjva/" TargetMode="External"/><Relationship Id="rId19" Type="http://schemas.openxmlformats.org/officeDocument/2006/relationships/hyperlink" Target="https://www.instagram.com/p/DadsW8kR_nh/" TargetMode="External"/><Relationship Id="rId18" Type="http://schemas.openxmlformats.org/officeDocument/2006/relationships/hyperlink" Target="https://www.instagram.com/reel/DaVz491RVc1/?igsh=YmJpd2xic2hmOTd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2" max="2" width="40.1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7</v>
      </c>
      <c r="H2" s="3" t="s">
        <v>8</v>
      </c>
      <c r="I2" s="3" t="s">
        <v>9</v>
      </c>
    </row>
    <row r="3">
      <c r="A3" s="5"/>
      <c r="B3" s="6"/>
      <c r="C3" s="6"/>
      <c r="D3" s="6"/>
      <c r="E3" s="6"/>
      <c r="F3" s="6"/>
      <c r="G3" s="6"/>
      <c r="H3" s="6"/>
      <c r="I3" s="6"/>
    </row>
    <row r="4">
      <c r="A4" s="7">
        <v>1.0</v>
      </c>
      <c r="B4" s="10" t="s">
        <v>11</v>
      </c>
      <c r="C4" s="12">
        <v>66484.0</v>
      </c>
      <c r="D4" s="12">
        <v>834.0</v>
      </c>
      <c r="E4" s="12">
        <v>4.0</v>
      </c>
      <c r="F4" s="12">
        <v>185.0</v>
      </c>
      <c r="G4" s="12">
        <v>35.0</v>
      </c>
      <c r="H4" s="12">
        <v>13.0</v>
      </c>
      <c r="I4" s="12">
        <f t="shared" ref="I4:I34" si="1">SUM(D4:H4)</f>
        <v>1071</v>
      </c>
    </row>
    <row r="5">
      <c r="A5" s="7">
        <v>2.0</v>
      </c>
      <c r="B5" s="10" t="s">
        <v>15</v>
      </c>
      <c r="C5" s="12">
        <v>15206.0</v>
      </c>
      <c r="D5" s="12">
        <v>56.0</v>
      </c>
      <c r="E5" s="12">
        <v>2.0</v>
      </c>
      <c r="F5" s="12">
        <v>0.0</v>
      </c>
      <c r="G5" s="12">
        <v>0.0</v>
      </c>
      <c r="H5" s="12">
        <v>1.0</v>
      </c>
      <c r="I5" s="12">
        <f t="shared" si="1"/>
        <v>59</v>
      </c>
    </row>
    <row r="6">
      <c r="A6" s="7">
        <v>3.0</v>
      </c>
      <c r="B6" s="10" t="s">
        <v>18</v>
      </c>
      <c r="C6" s="12">
        <v>28522.0</v>
      </c>
      <c r="D6" s="12">
        <v>108.0</v>
      </c>
      <c r="E6" s="12">
        <v>7.0</v>
      </c>
      <c r="F6" s="12">
        <v>2.0</v>
      </c>
      <c r="G6" s="12">
        <v>7.0</v>
      </c>
      <c r="H6" s="12">
        <v>4.0</v>
      </c>
      <c r="I6" s="12">
        <f t="shared" si="1"/>
        <v>128</v>
      </c>
    </row>
    <row r="7">
      <c r="A7" s="7">
        <v>4.0</v>
      </c>
      <c r="B7" s="10" t="s">
        <v>21</v>
      </c>
      <c r="C7" s="12">
        <v>10424.0</v>
      </c>
      <c r="D7" s="12">
        <v>99.0</v>
      </c>
      <c r="E7" s="12">
        <v>10.0</v>
      </c>
      <c r="F7" s="12">
        <v>4.0</v>
      </c>
      <c r="G7" s="12">
        <v>2.0</v>
      </c>
      <c r="H7" s="12">
        <v>2.0</v>
      </c>
      <c r="I7" s="12">
        <f t="shared" si="1"/>
        <v>117</v>
      </c>
    </row>
    <row r="8">
      <c r="A8" s="7">
        <v>5.0</v>
      </c>
      <c r="B8" s="10" t="s">
        <v>24</v>
      </c>
      <c r="C8" s="12">
        <v>17079.0</v>
      </c>
      <c r="D8" s="12">
        <v>148.0</v>
      </c>
      <c r="E8" s="12">
        <v>99.0</v>
      </c>
      <c r="F8" s="12">
        <v>5.0</v>
      </c>
      <c r="G8" s="12">
        <v>13.0</v>
      </c>
      <c r="H8" s="12">
        <v>2.0</v>
      </c>
      <c r="I8" s="12">
        <f t="shared" si="1"/>
        <v>267</v>
      </c>
    </row>
    <row r="9">
      <c r="A9" s="7">
        <v>6.0</v>
      </c>
      <c r="B9" s="10" t="s">
        <v>26</v>
      </c>
      <c r="C9" s="12">
        <v>9695.0</v>
      </c>
      <c r="D9" s="12">
        <v>75.0</v>
      </c>
      <c r="E9" s="12">
        <v>2.0</v>
      </c>
      <c r="F9" s="12">
        <v>1.0</v>
      </c>
      <c r="G9" s="12">
        <v>2.0</v>
      </c>
      <c r="H9" s="12">
        <v>0.0</v>
      </c>
      <c r="I9" s="12">
        <f t="shared" si="1"/>
        <v>80</v>
      </c>
    </row>
    <row r="10">
      <c r="A10" s="7">
        <v>7.0</v>
      </c>
      <c r="B10" s="10" t="s">
        <v>29</v>
      </c>
      <c r="C10" s="12">
        <v>21203.0</v>
      </c>
      <c r="D10" s="12">
        <v>124.0</v>
      </c>
      <c r="E10" s="12">
        <v>7.0</v>
      </c>
      <c r="F10" s="12">
        <v>1.0</v>
      </c>
      <c r="G10" s="12">
        <v>13.0</v>
      </c>
      <c r="H10" s="12">
        <v>1.0</v>
      </c>
      <c r="I10" s="12">
        <f t="shared" si="1"/>
        <v>146</v>
      </c>
    </row>
    <row r="11">
      <c r="A11" s="7">
        <v>8.0</v>
      </c>
      <c r="B11" s="10" t="s">
        <v>33</v>
      </c>
      <c r="C11" s="12">
        <v>28765.0</v>
      </c>
      <c r="D11" s="12">
        <v>477.0</v>
      </c>
      <c r="E11" s="12">
        <v>18.0</v>
      </c>
      <c r="F11" s="12">
        <v>6.0</v>
      </c>
      <c r="G11" s="12">
        <v>2.0</v>
      </c>
      <c r="H11" s="12">
        <v>7.0</v>
      </c>
      <c r="I11" s="12">
        <f t="shared" si="1"/>
        <v>510</v>
      </c>
    </row>
    <row r="12">
      <c r="A12" s="7">
        <v>9.0</v>
      </c>
      <c r="B12" s="10" t="s">
        <v>36</v>
      </c>
      <c r="C12" s="12">
        <v>42319.0</v>
      </c>
      <c r="D12" s="12">
        <v>1020.0</v>
      </c>
      <c r="E12" s="12">
        <v>9.0</v>
      </c>
      <c r="F12" s="12">
        <v>5.0</v>
      </c>
      <c r="G12" s="12">
        <v>5.0</v>
      </c>
      <c r="H12" s="12">
        <v>14.0</v>
      </c>
      <c r="I12" s="12">
        <f t="shared" si="1"/>
        <v>1053</v>
      </c>
    </row>
    <row r="13">
      <c r="A13" s="7">
        <v>10.0</v>
      </c>
      <c r="B13" s="10" t="s">
        <v>38</v>
      </c>
      <c r="C13" s="12">
        <v>35171.0</v>
      </c>
      <c r="D13" s="12">
        <v>145.0</v>
      </c>
      <c r="E13" s="12">
        <v>6.0</v>
      </c>
      <c r="F13" s="12">
        <v>2.0</v>
      </c>
      <c r="G13" s="12">
        <v>7.0</v>
      </c>
      <c r="H13" s="12">
        <v>3.0</v>
      </c>
      <c r="I13" s="12">
        <f t="shared" si="1"/>
        <v>163</v>
      </c>
    </row>
    <row r="14">
      <c r="A14" s="7">
        <v>11.0</v>
      </c>
      <c r="B14" s="10" t="s">
        <v>41</v>
      </c>
      <c r="C14" s="12">
        <v>11677.0</v>
      </c>
      <c r="D14" s="12">
        <v>65.0</v>
      </c>
      <c r="E14" s="12">
        <v>0.0</v>
      </c>
      <c r="F14" s="12">
        <v>1.0</v>
      </c>
      <c r="G14" s="12">
        <v>9.0</v>
      </c>
      <c r="H14" s="12">
        <v>0.0</v>
      </c>
      <c r="I14" s="12">
        <f t="shared" si="1"/>
        <v>75</v>
      </c>
    </row>
    <row r="15">
      <c r="A15" s="7">
        <v>12.0</v>
      </c>
      <c r="B15" s="10" t="s">
        <v>43</v>
      </c>
      <c r="C15" s="26">
        <v>220058.0</v>
      </c>
      <c r="D15" s="12">
        <v>1707.0</v>
      </c>
      <c r="E15" s="12">
        <v>42.0</v>
      </c>
      <c r="F15" s="12">
        <v>12.0</v>
      </c>
      <c r="G15" s="12">
        <v>29.0</v>
      </c>
      <c r="H15" s="12">
        <v>61.0</v>
      </c>
      <c r="I15" s="12">
        <f t="shared" si="1"/>
        <v>1851</v>
      </c>
    </row>
    <row r="16">
      <c r="A16" s="7">
        <v>13.0</v>
      </c>
      <c r="B16" s="10" t="s">
        <v>45</v>
      </c>
      <c r="C16" s="12">
        <v>101385.0</v>
      </c>
      <c r="D16" s="12">
        <v>753.0</v>
      </c>
      <c r="E16" s="12">
        <v>27.0</v>
      </c>
      <c r="F16" s="12">
        <v>5.0</v>
      </c>
      <c r="G16" s="12">
        <v>50.0</v>
      </c>
      <c r="H16" s="12">
        <v>36.0</v>
      </c>
      <c r="I16" s="12">
        <f t="shared" si="1"/>
        <v>871</v>
      </c>
    </row>
    <row r="17">
      <c r="A17" s="7">
        <v>14.0</v>
      </c>
      <c r="B17" s="10" t="s">
        <v>48</v>
      </c>
      <c r="C17" s="12">
        <v>17523.0</v>
      </c>
      <c r="D17" s="18">
        <v>51.0</v>
      </c>
      <c r="E17" s="12">
        <v>3.0</v>
      </c>
      <c r="F17" s="12">
        <v>1.0</v>
      </c>
      <c r="G17" s="12">
        <v>1.0</v>
      </c>
      <c r="H17" s="12">
        <v>4.0</v>
      </c>
      <c r="I17" s="12">
        <f t="shared" si="1"/>
        <v>60</v>
      </c>
    </row>
    <row r="18">
      <c r="A18" s="7">
        <v>15.0</v>
      </c>
      <c r="B18" s="10" t="s">
        <v>50</v>
      </c>
      <c r="C18" s="12">
        <v>28869.0</v>
      </c>
      <c r="D18" s="18">
        <v>176.0</v>
      </c>
      <c r="E18" s="12">
        <v>4.0</v>
      </c>
      <c r="F18" s="12">
        <v>1.0</v>
      </c>
      <c r="G18" s="12">
        <v>26.0</v>
      </c>
      <c r="H18" s="12">
        <v>2.0</v>
      </c>
      <c r="I18" s="12">
        <f t="shared" si="1"/>
        <v>209</v>
      </c>
    </row>
    <row r="19">
      <c r="A19" s="7">
        <v>16.0</v>
      </c>
      <c r="B19" s="10" t="s">
        <v>51</v>
      </c>
      <c r="C19" s="12">
        <v>11939.0</v>
      </c>
      <c r="D19" s="18">
        <v>40.0</v>
      </c>
      <c r="E19" s="12">
        <v>1.0</v>
      </c>
      <c r="F19" s="12">
        <v>0.0</v>
      </c>
      <c r="G19" s="12">
        <v>2.0</v>
      </c>
      <c r="H19" s="12">
        <v>0.0</v>
      </c>
      <c r="I19" s="12">
        <f t="shared" si="1"/>
        <v>43</v>
      </c>
    </row>
    <row r="20">
      <c r="A20" s="7">
        <v>17.0</v>
      </c>
      <c r="B20" s="10" t="s">
        <v>54</v>
      </c>
      <c r="C20" s="18">
        <v>15815.0</v>
      </c>
      <c r="D20" s="18">
        <v>58.0</v>
      </c>
      <c r="E20" s="18">
        <v>46.0</v>
      </c>
      <c r="F20" s="18">
        <v>2.0</v>
      </c>
      <c r="G20" s="18">
        <v>1.0</v>
      </c>
      <c r="H20" s="12">
        <v>1.0</v>
      </c>
      <c r="I20" s="12">
        <f t="shared" si="1"/>
        <v>108</v>
      </c>
    </row>
    <row r="21">
      <c r="A21" s="7">
        <v>19.0</v>
      </c>
      <c r="B21" s="10" t="s">
        <v>56</v>
      </c>
      <c r="C21" s="18">
        <v>41276.0</v>
      </c>
      <c r="D21" s="18">
        <v>419.0</v>
      </c>
      <c r="E21" s="18">
        <v>2.0</v>
      </c>
      <c r="F21" s="18">
        <v>4.0</v>
      </c>
      <c r="G21" s="18">
        <v>3.0</v>
      </c>
      <c r="H21" s="18">
        <v>5.0</v>
      </c>
      <c r="I21" s="12">
        <f t="shared" si="1"/>
        <v>433</v>
      </c>
    </row>
    <row r="22">
      <c r="A22" s="7">
        <v>20.0</v>
      </c>
      <c r="B22" s="10" t="s">
        <v>58</v>
      </c>
      <c r="C22" s="18">
        <v>140900.0</v>
      </c>
      <c r="D22" s="18">
        <v>1700.0</v>
      </c>
      <c r="E22" s="18">
        <v>86.0</v>
      </c>
      <c r="F22" s="18">
        <v>193.0</v>
      </c>
      <c r="G22" s="18">
        <v>8.0</v>
      </c>
      <c r="H22" s="18">
        <v>112.0</v>
      </c>
      <c r="I22" s="12">
        <f t="shared" si="1"/>
        <v>2099</v>
      </c>
    </row>
    <row r="23">
      <c r="A23" s="7">
        <v>21.0</v>
      </c>
      <c r="B23" s="10" t="s">
        <v>60</v>
      </c>
      <c r="C23" s="18">
        <v>40196.0</v>
      </c>
      <c r="D23" s="18">
        <v>506.0</v>
      </c>
      <c r="E23" s="18">
        <v>17.0</v>
      </c>
      <c r="F23" s="18">
        <v>21.0</v>
      </c>
      <c r="G23" s="18">
        <v>7.0</v>
      </c>
      <c r="H23" s="18">
        <v>12.0</v>
      </c>
      <c r="I23" s="12">
        <f t="shared" si="1"/>
        <v>563</v>
      </c>
    </row>
    <row r="24">
      <c r="A24" s="7">
        <v>22.0</v>
      </c>
      <c r="B24" s="10" t="s">
        <v>62</v>
      </c>
      <c r="C24" s="18">
        <v>37351.0</v>
      </c>
      <c r="D24" s="18">
        <v>125.0</v>
      </c>
      <c r="E24" s="12">
        <v>2.0</v>
      </c>
      <c r="F24" s="18">
        <v>59.0</v>
      </c>
      <c r="G24" s="18">
        <v>4.0</v>
      </c>
      <c r="H24" s="18">
        <v>2.0</v>
      </c>
      <c r="I24" s="12">
        <f t="shared" si="1"/>
        <v>192</v>
      </c>
    </row>
    <row r="25">
      <c r="A25" s="7">
        <v>23.0</v>
      </c>
      <c r="B25" s="10" t="s">
        <v>64</v>
      </c>
      <c r="C25" s="18">
        <v>28231.0</v>
      </c>
      <c r="D25" s="18">
        <v>234.0</v>
      </c>
      <c r="E25" s="18">
        <v>48.0</v>
      </c>
      <c r="F25" s="18">
        <v>26.0</v>
      </c>
      <c r="G25" s="18">
        <v>7.0</v>
      </c>
      <c r="H25" s="18">
        <v>4.0</v>
      </c>
      <c r="I25" s="12">
        <f t="shared" si="1"/>
        <v>319</v>
      </c>
    </row>
    <row r="26">
      <c r="A26" s="7">
        <v>24.0</v>
      </c>
      <c r="B26" s="10" t="s">
        <v>68</v>
      </c>
      <c r="C26" s="9">
        <v>19254.0</v>
      </c>
      <c r="D26" s="9">
        <v>176.0</v>
      </c>
      <c r="E26" s="9">
        <v>1.0</v>
      </c>
      <c r="F26" s="9">
        <v>39.0</v>
      </c>
      <c r="G26" s="9">
        <v>5.0</v>
      </c>
      <c r="H26" s="9">
        <v>6.0</v>
      </c>
      <c r="I26" s="12">
        <f t="shared" si="1"/>
        <v>227</v>
      </c>
    </row>
    <row r="27">
      <c r="A27" s="7">
        <v>25.0</v>
      </c>
      <c r="B27" s="10" t="s">
        <v>69</v>
      </c>
      <c r="C27" s="9">
        <v>37841.0</v>
      </c>
      <c r="D27" s="9">
        <v>94.0</v>
      </c>
      <c r="E27" s="9">
        <v>116.0</v>
      </c>
      <c r="F27" s="9">
        <v>21.0</v>
      </c>
      <c r="G27" s="9">
        <v>1.0</v>
      </c>
      <c r="H27" s="9">
        <v>2.0</v>
      </c>
      <c r="I27" s="12">
        <f t="shared" si="1"/>
        <v>234</v>
      </c>
    </row>
    <row r="28">
      <c r="A28" s="7">
        <v>26.0</v>
      </c>
      <c r="B28" s="10" t="s">
        <v>71</v>
      </c>
      <c r="C28" s="9">
        <v>28073.0</v>
      </c>
      <c r="D28" s="9">
        <v>140.0</v>
      </c>
      <c r="E28" s="9">
        <v>8.0</v>
      </c>
      <c r="F28" s="9">
        <v>18.0</v>
      </c>
      <c r="G28" s="9">
        <v>1.0</v>
      </c>
      <c r="H28" s="9">
        <v>2.0</v>
      </c>
      <c r="I28" s="12">
        <f t="shared" si="1"/>
        <v>169</v>
      </c>
    </row>
    <row r="29">
      <c r="A29" s="7">
        <v>27.0</v>
      </c>
      <c r="B29" s="10" t="s">
        <v>73</v>
      </c>
      <c r="C29" s="9">
        <v>12792.0</v>
      </c>
      <c r="D29" s="9">
        <v>137.0</v>
      </c>
      <c r="E29" s="9">
        <v>3.0</v>
      </c>
      <c r="F29" s="9">
        <v>15.0</v>
      </c>
      <c r="G29" s="9">
        <v>4.0</v>
      </c>
      <c r="H29" s="9">
        <v>5.0</v>
      </c>
      <c r="I29" s="12">
        <f t="shared" si="1"/>
        <v>164</v>
      </c>
    </row>
    <row r="30">
      <c r="A30" s="7">
        <v>28.0</v>
      </c>
      <c r="B30" s="10" t="s">
        <v>76</v>
      </c>
      <c r="C30" s="9">
        <v>21677.0</v>
      </c>
      <c r="D30" s="9">
        <v>225.0</v>
      </c>
      <c r="E30" s="32">
        <v>2.0</v>
      </c>
      <c r="F30" s="9">
        <v>2.0</v>
      </c>
      <c r="G30" s="9">
        <v>3.0</v>
      </c>
      <c r="H30" s="9">
        <v>3.0</v>
      </c>
      <c r="I30" s="12">
        <f t="shared" si="1"/>
        <v>235</v>
      </c>
    </row>
    <row r="31">
      <c r="A31" s="7">
        <v>29.0</v>
      </c>
      <c r="B31" s="33" t="s">
        <v>79</v>
      </c>
      <c r="C31" s="34">
        <v>35941.0</v>
      </c>
      <c r="D31" s="34">
        <v>382.0</v>
      </c>
      <c r="E31" s="34">
        <v>10.0</v>
      </c>
      <c r="F31" s="34">
        <v>16.0</v>
      </c>
      <c r="G31" s="34">
        <v>3.0</v>
      </c>
      <c r="H31" s="34">
        <v>9.0</v>
      </c>
      <c r="I31" s="12">
        <f t="shared" si="1"/>
        <v>420</v>
      </c>
    </row>
    <row r="32">
      <c r="A32" s="7">
        <v>30.0</v>
      </c>
      <c r="B32" s="33" t="s">
        <v>81</v>
      </c>
      <c r="C32" s="34">
        <v>9654.0</v>
      </c>
      <c r="D32" s="34">
        <v>70.0</v>
      </c>
      <c r="E32" s="34">
        <v>22.0</v>
      </c>
      <c r="F32" s="34">
        <v>1.0</v>
      </c>
      <c r="G32" s="34">
        <v>0.0</v>
      </c>
      <c r="H32" s="34">
        <v>0.0</v>
      </c>
      <c r="I32" s="12">
        <f t="shared" si="1"/>
        <v>93</v>
      </c>
    </row>
    <row r="33">
      <c r="A33" s="7">
        <v>31.0</v>
      </c>
      <c r="B33" s="33" t="s">
        <v>83</v>
      </c>
      <c r="C33" s="9">
        <v>8305.0</v>
      </c>
      <c r="D33" s="34">
        <v>42.0</v>
      </c>
      <c r="E33" s="34">
        <v>1.0</v>
      </c>
      <c r="F33" s="34">
        <v>2.0</v>
      </c>
      <c r="G33" s="34">
        <v>1.0</v>
      </c>
      <c r="H33" s="34">
        <v>1.0</v>
      </c>
      <c r="I33" s="12">
        <f t="shared" si="1"/>
        <v>47</v>
      </c>
    </row>
    <row r="34">
      <c r="A34" s="7">
        <v>32.0</v>
      </c>
      <c r="B34" s="33" t="s">
        <v>86</v>
      </c>
      <c r="C34" s="9">
        <v>28008.0</v>
      </c>
      <c r="D34" s="34">
        <v>261.0</v>
      </c>
      <c r="E34" s="34">
        <v>6.0</v>
      </c>
      <c r="F34" s="34">
        <v>6.0</v>
      </c>
      <c r="G34" s="34">
        <v>33.0</v>
      </c>
      <c r="H34" s="34">
        <v>4.0</v>
      </c>
      <c r="I34" s="12">
        <f t="shared" si="1"/>
        <v>310</v>
      </c>
    </row>
    <row r="35">
      <c r="A35" s="7">
        <v>33.0</v>
      </c>
      <c r="B35" s="35"/>
      <c r="C35" s="32"/>
      <c r="D35" s="14"/>
      <c r="E35" s="14"/>
      <c r="F35" s="14"/>
      <c r="G35" s="14"/>
      <c r="H35" s="14"/>
      <c r="I35" s="12"/>
    </row>
    <row r="36">
      <c r="A36" s="7"/>
      <c r="B36" s="35"/>
      <c r="C36" s="32"/>
      <c r="D36" s="14"/>
      <c r="E36" s="14"/>
      <c r="F36" s="14"/>
      <c r="G36" s="14"/>
      <c r="H36" s="14"/>
      <c r="I36" s="12"/>
    </row>
    <row r="37">
      <c r="A37" s="7"/>
      <c r="B37" s="35"/>
      <c r="C37" s="32">
        <f t="shared" ref="C37:H37" si="2">SUM(C4:C34)</f>
        <v>1171633</v>
      </c>
      <c r="D37" s="32">
        <f t="shared" si="2"/>
        <v>10447</v>
      </c>
      <c r="E37" s="32">
        <f t="shared" si="2"/>
        <v>611</v>
      </c>
      <c r="F37" s="32">
        <f t="shared" si="2"/>
        <v>656</v>
      </c>
      <c r="G37" s="32">
        <f t="shared" si="2"/>
        <v>284</v>
      </c>
      <c r="H37" s="32">
        <f t="shared" si="2"/>
        <v>318</v>
      </c>
      <c r="I37" s="12">
        <f>SUM(I3:I30)</f>
        <v>11446</v>
      </c>
    </row>
  </sheetData>
  <mergeCells count="9">
    <mergeCell ref="H2:H3"/>
    <mergeCell ref="I2:I3"/>
    <mergeCell ref="A2:A3"/>
    <mergeCell ref="B2:B3"/>
    <mergeCell ref="C2:C3"/>
    <mergeCell ref="D2:D3"/>
    <mergeCell ref="E2:E3"/>
    <mergeCell ref="F2:F3"/>
    <mergeCell ref="G2:G3"/>
  </mergeCells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</hyperlinks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57.75"/>
    <col customWidth="1" min="3" max="3" width="16.75"/>
  </cols>
  <sheetData>
    <row r="1">
      <c r="A1" s="2" t="s">
        <v>0</v>
      </c>
      <c r="B1" s="3" t="s">
        <v>1</v>
      </c>
      <c r="C1" s="4" t="s">
        <v>5</v>
      </c>
      <c r="D1" s="3" t="s">
        <v>2</v>
      </c>
      <c r="E1" s="3" t="s">
        <v>3</v>
      </c>
      <c r="F1" s="3" t="s">
        <v>4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5"/>
      <c r="B2" s="6"/>
      <c r="C2" s="6"/>
      <c r="D2" s="6"/>
      <c r="E2" s="6"/>
      <c r="F2" s="6"/>
      <c r="G2" s="6"/>
      <c r="H2" s="6"/>
      <c r="I2" s="6"/>
      <c r="J2" s="6"/>
    </row>
    <row r="3">
      <c r="A3" s="7"/>
      <c r="B3" s="8" t="s">
        <v>10</v>
      </c>
      <c r="C3" s="9" t="s">
        <v>12</v>
      </c>
      <c r="D3" s="9" t="s">
        <v>13</v>
      </c>
      <c r="E3" s="11">
        <v>64200.0</v>
      </c>
      <c r="F3" s="11">
        <v>1208.0</v>
      </c>
      <c r="G3" s="11">
        <v>1928.0</v>
      </c>
      <c r="H3" s="13">
        <v>242.0</v>
      </c>
      <c r="I3" s="14"/>
      <c r="J3" s="15">
        <f>SUM(E3:I3)</f>
        <v>67578</v>
      </c>
    </row>
    <row r="4">
      <c r="A4" s="7"/>
      <c r="B4" s="16" t="s">
        <v>14</v>
      </c>
      <c r="C4" s="9" t="s">
        <v>12</v>
      </c>
      <c r="D4" s="17">
        <v>523140.0</v>
      </c>
      <c r="E4" s="18" t="s">
        <v>16</v>
      </c>
      <c r="F4" s="18" t="s">
        <v>16</v>
      </c>
      <c r="G4" s="18" t="s">
        <v>16</v>
      </c>
      <c r="H4" s="18" t="s">
        <v>16</v>
      </c>
      <c r="I4" s="18" t="s">
        <v>16</v>
      </c>
      <c r="J4" s="18">
        <v>1436.0</v>
      </c>
    </row>
    <row r="5">
      <c r="A5" s="7"/>
      <c r="B5" s="16" t="s">
        <v>17</v>
      </c>
      <c r="C5" s="9" t="s">
        <v>12</v>
      </c>
      <c r="D5" s="17">
        <v>360448.0</v>
      </c>
      <c r="E5" s="18" t="s">
        <v>16</v>
      </c>
      <c r="F5" s="18" t="s">
        <v>16</v>
      </c>
      <c r="G5" s="18" t="s">
        <v>16</v>
      </c>
      <c r="H5" s="18" t="s">
        <v>16</v>
      </c>
      <c r="I5" s="18" t="s">
        <v>16</v>
      </c>
      <c r="J5" s="18">
        <v>2176.0</v>
      </c>
    </row>
    <row r="6">
      <c r="A6" s="7"/>
      <c r="B6" s="16" t="s">
        <v>19</v>
      </c>
      <c r="C6" s="9" t="s">
        <v>12</v>
      </c>
      <c r="D6" s="19">
        <v>288128.0</v>
      </c>
      <c r="E6" s="18" t="s">
        <v>16</v>
      </c>
      <c r="F6" s="18" t="s">
        <v>16</v>
      </c>
      <c r="G6" s="18" t="s">
        <v>16</v>
      </c>
      <c r="H6" s="18" t="s">
        <v>16</v>
      </c>
      <c r="I6" s="18" t="s">
        <v>16</v>
      </c>
      <c r="J6" s="18">
        <v>11200.0</v>
      </c>
    </row>
    <row r="7">
      <c r="A7" s="7"/>
      <c r="B7" s="16" t="s">
        <v>20</v>
      </c>
      <c r="C7" s="9" t="s">
        <v>12</v>
      </c>
      <c r="D7" s="19">
        <v>451353.0</v>
      </c>
      <c r="E7" s="18" t="s">
        <v>16</v>
      </c>
      <c r="F7" s="18" t="s">
        <v>16</v>
      </c>
      <c r="G7" s="18" t="s">
        <v>16</v>
      </c>
      <c r="H7" s="18" t="s">
        <v>16</v>
      </c>
      <c r="I7" s="18" t="s">
        <v>16</v>
      </c>
      <c r="J7" s="18">
        <v>9910.0</v>
      </c>
    </row>
    <row r="8">
      <c r="A8" s="7"/>
      <c r="B8" s="20" t="s">
        <v>22</v>
      </c>
      <c r="C8" s="9" t="s">
        <v>12</v>
      </c>
      <c r="D8" s="19" t="s">
        <v>23</v>
      </c>
      <c r="E8" s="21">
        <v>30800.0</v>
      </c>
      <c r="F8" s="21">
        <v>4402.0</v>
      </c>
      <c r="G8" s="18">
        <v>612.0</v>
      </c>
      <c r="H8" s="18">
        <v>71.0</v>
      </c>
      <c r="I8" s="12"/>
      <c r="J8" s="15">
        <f>SUM(E8:I8)</f>
        <v>35885</v>
      </c>
    </row>
    <row r="9">
      <c r="A9" s="7"/>
      <c r="B9" s="16" t="s">
        <v>25</v>
      </c>
      <c r="C9" s="9" t="s">
        <v>12</v>
      </c>
      <c r="D9" s="17">
        <v>415200.0</v>
      </c>
      <c r="E9" s="18" t="s">
        <v>16</v>
      </c>
      <c r="F9" s="18" t="s">
        <v>16</v>
      </c>
      <c r="G9" s="18" t="s">
        <v>16</v>
      </c>
      <c r="H9" s="18" t="s">
        <v>16</v>
      </c>
      <c r="I9" s="18" t="s">
        <v>16</v>
      </c>
      <c r="J9" s="18">
        <v>850.0</v>
      </c>
    </row>
    <row r="10">
      <c r="A10" s="7"/>
      <c r="B10" s="16" t="s">
        <v>27</v>
      </c>
      <c r="C10" s="9" t="s">
        <v>12</v>
      </c>
      <c r="D10" s="17">
        <v>311109.0</v>
      </c>
      <c r="E10" s="18" t="s">
        <v>16</v>
      </c>
      <c r="F10" s="18" t="s">
        <v>16</v>
      </c>
      <c r="G10" s="18" t="s">
        <v>16</v>
      </c>
      <c r="H10" s="18" t="s">
        <v>16</v>
      </c>
      <c r="I10" s="18" t="s">
        <v>16</v>
      </c>
      <c r="J10" s="18">
        <v>904.0</v>
      </c>
    </row>
    <row r="11">
      <c r="A11" s="7"/>
      <c r="B11" s="16" t="s">
        <v>28</v>
      </c>
      <c r="C11" s="9" t="s">
        <v>12</v>
      </c>
      <c r="D11" s="17">
        <v>310207.0</v>
      </c>
      <c r="E11" s="18" t="s">
        <v>16</v>
      </c>
      <c r="F11" s="18" t="s">
        <v>16</v>
      </c>
      <c r="G11" s="18" t="s">
        <v>16</v>
      </c>
      <c r="H11" s="18" t="s">
        <v>16</v>
      </c>
      <c r="I11" s="18" t="s">
        <v>16</v>
      </c>
      <c r="J11" s="18">
        <v>9811.0</v>
      </c>
    </row>
    <row r="12">
      <c r="A12" s="7"/>
      <c r="B12" s="16" t="s">
        <v>30</v>
      </c>
      <c r="C12" s="9" t="s">
        <v>12</v>
      </c>
      <c r="D12" s="17">
        <v>538869.0</v>
      </c>
      <c r="E12" s="18" t="s">
        <v>16</v>
      </c>
      <c r="F12" s="18" t="s">
        <v>16</v>
      </c>
      <c r="G12" s="18" t="s">
        <v>16</v>
      </c>
      <c r="H12" s="18" t="s">
        <v>16</v>
      </c>
      <c r="I12" s="18" t="s">
        <v>16</v>
      </c>
      <c r="J12" s="18">
        <v>2447.0</v>
      </c>
    </row>
    <row r="13">
      <c r="A13" s="7"/>
      <c r="B13" s="20" t="s">
        <v>31</v>
      </c>
      <c r="C13" s="9" t="s">
        <v>12</v>
      </c>
      <c r="D13" s="19" t="s">
        <v>32</v>
      </c>
      <c r="E13" s="21">
        <v>60200.0</v>
      </c>
      <c r="F13" s="21">
        <v>5507.0</v>
      </c>
      <c r="G13" s="18">
        <v>973.0</v>
      </c>
      <c r="H13" s="18">
        <v>290.0</v>
      </c>
      <c r="I13" s="12"/>
      <c r="J13" s="15">
        <f>SUM(E13:I13)</f>
        <v>66970</v>
      </c>
    </row>
    <row r="14">
      <c r="A14" s="7"/>
      <c r="B14" s="16" t="s">
        <v>34</v>
      </c>
      <c r="C14" s="9" t="s">
        <v>12</v>
      </c>
      <c r="D14" s="17">
        <v>369548.0</v>
      </c>
      <c r="E14" s="18" t="s">
        <v>16</v>
      </c>
      <c r="F14" s="18" t="s">
        <v>16</v>
      </c>
      <c r="G14" s="18" t="s">
        <v>16</v>
      </c>
      <c r="H14" s="18" t="s">
        <v>16</v>
      </c>
      <c r="I14" s="18" t="s">
        <v>16</v>
      </c>
      <c r="J14" s="18">
        <v>13480.0</v>
      </c>
    </row>
    <row r="15">
      <c r="A15" s="7"/>
      <c r="B15" s="16" t="s">
        <v>35</v>
      </c>
      <c r="C15" s="9" t="s">
        <v>12</v>
      </c>
      <c r="D15" s="17">
        <v>392854.0</v>
      </c>
      <c r="E15" s="18" t="s">
        <v>16</v>
      </c>
      <c r="F15" s="18" t="s">
        <v>16</v>
      </c>
      <c r="G15" s="18" t="s">
        <v>16</v>
      </c>
      <c r="H15" s="18" t="s">
        <v>16</v>
      </c>
      <c r="I15" s="18" t="s">
        <v>16</v>
      </c>
      <c r="J15" s="18">
        <v>2264.0</v>
      </c>
    </row>
    <row r="16">
      <c r="A16" s="7"/>
      <c r="B16" s="16" t="s">
        <v>37</v>
      </c>
      <c r="C16" s="9" t="s">
        <v>12</v>
      </c>
      <c r="D16" s="17">
        <v>515578.0</v>
      </c>
      <c r="E16" s="18" t="s">
        <v>16</v>
      </c>
      <c r="F16" s="18" t="s">
        <v>16</v>
      </c>
      <c r="G16" s="18" t="s">
        <v>16</v>
      </c>
      <c r="H16" s="18" t="s">
        <v>16</v>
      </c>
      <c r="I16" s="18" t="s">
        <v>16</v>
      </c>
      <c r="J16" s="18">
        <v>10735.0</v>
      </c>
    </row>
    <row r="17">
      <c r="A17" s="7"/>
      <c r="B17" s="16" t="s">
        <v>39</v>
      </c>
      <c r="C17" s="9" t="s">
        <v>12</v>
      </c>
      <c r="D17" s="17">
        <v>408161.0</v>
      </c>
      <c r="E17" s="18" t="s">
        <v>16</v>
      </c>
      <c r="F17" s="18" t="s">
        <v>16</v>
      </c>
      <c r="G17" s="18" t="s">
        <v>16</v>
      </c>
      <c r="H17" s="18" t="s">
        <v>16</v>
      </c>
      <c r="I17" s="18" t="s">
        <v>16</v>
      </c>
      <c r="J17" s="18">
        <v>2560.0</v>
      </c>
    </row>
    <row r="18">
      <c r="A18" s="7"/>
      <c r="B18" s="22" t="s">
        <v>40</v>
      </c>
      <c r="C18" s="9" t="s">
        <v>12</v>
      </c>
      <c r="D18" s="23">
        <v>402476.0</v>
      </c>
      <c r="E18" s="18" t="s">
        <v>16</v>
      </c>
      <c r="F18" s="18" t="s">
        <v>16</v>
      </c>
      <c r="G18" s="18" t="s">
        <v>16</v>
      </c>
      <c r="H18" s="18" t="s">
        <v>16</v>
      </c>
      <c r="I18" s="18" t="s">
        <v>16</v>
      </c>
      <c r="J18" s="18">
        <v>8704.0</v>
      </c>
    </row>
    <row r="19">
      <c r="A19" s="7"/>
      <c r="B19" s="8" t="s">
        <v>42</v>
      </c>
      <c r="C19" s="9" t="s">
        <v>12</v>
      </c>
      <c r="D19" s="23">
        <v>3000000.0</v>
      </c>
      <c r="E19" s="24">
        <v>65200.0</v>
      </c>
      <c r="F19" s="24">
        <v>6556.0</v>
      </c>
      <c r="G19" s="24">
        <v>890.0</v>
      </c>
      <c r="H19" s="24">
        <v>369.0</v>
      </c>
      <c r="I19" s="25"/>
      <c r="J19" s="27">
        <f>SUM(E19:I19)</f>
        <v>73015</v>
      </c>
    </row>
    <row r="20">
      <c r="A20" s="7"/>
      <c r="B20" s="16" t="s">
        <v>44</v>
      </c>
      <c r="C20" s="9" t="s">
        <v>12</v>
      </c>
      <c r="D20" s="17">
        <v>211242.0</v>
      </c>
      <c r="E20" s="18" t="s">
        <v>16</v>
      </c>
      <c r="F20" s="18" t="s">
        <v>16</v>
      </c>
      <c r="G20" s="18" t="s">
        <v>16</v>
      </c>
      <c r="H20" s="18" t="s">
        <v>16</v>
      </c>
      <c r="I20" s="18" t="s">
        <v>16</v>
      </c>
      <c r="J20" s="18">
        <v>8846.0</v>
      </c>
    </row>
    <row r="21">
      <c r="A21" s="7"/>
      <c r="B21" s="16" t="s">
        <v>46</v>
      </c>
      <c r="C21" s="9" t="s">
        <v>12</v>
      </c>
      <c r="D21" s="17">
        <v>490039.0</v>
      </c>
      <c r="E21" s="18" t="s">
        <v>16</v>
      </c>
      <c r="F21" s="18" t="s">
        <v>16</v>
      </c>
      <c r="G21" s="18" t="s">
        <v>16</v>
      </c>
      <c r="H21" s="18" t="s">
        <v>16</v>
      </c>
      <c r="I21" s="18" t="s">
        <v>16</v>
      </c>
      <c r="J21" s="18">
        <v>1094.0</v>
      </c>
    </row>
    <row r="22">
      <c r="A22" s="7"/>
      <c r="B22" s="28" t="s">
        <v>47</v>
      </c>
      <c r="C22" s="9" t="s">
        <v>12</v>
      </c>
      <c r="D22" s="23">
        <v>431022.0</v>
      </c>
      <c r="E22" s="18" t="s">
        <v>16</v>
      </c>
      <c r="F22" s="18" t="s">
        <v>16</v>
      </c>
      <c r="G22" s="18" t="s">
        <v>16</v>
      </c>
      <c r="H22" s="18" t="s">
        <v>16</v>
      </c>
      <c r="I22" s="18" t="s">
        <v>16</v>
      </c>
      <c r="J22" s="18">
        <v>792.0</v>
      </c>
    </row>
    <row r="23">
      <c r="A23" s="7"/>
      <c r="B23" s="29" t="s">
        <v>49</v>
      </c>
      <c r="C23" s="9" t="s">
        <v>12</v>
      </c>
      <c r="D23" s="30">
        <v>1300000.0</v>
      </c>
      <c r="E23" s="24">
        <v>39700.0</v>
      </c>
      <c r="F23" s="24">
        <v>1.0</v>
      </c>
      <c r="G23" s="24">
        <v>206.0</v>
      </c>
      <c r="H23" s="24">
        <v>171.0</v>
      </c>
      <c r="I23" s="25"/>
      <c r="J23" s="27">
        <f>SUM(E23:I23)</f>
        <v>40078</v>
      </c>
    </row>
    <row r="24">
      <c r="A24" s="7"/>
      <c r="B24" s="16" t="s">
        <v>52</v>
      </c>
      <c r="C24" s="9" t="s">
        <v>12</v>
      </c>
      <c r="D24" s="21">
        <v>451353.0</v>
      </c>
      <c r="E24" s="18" t="s">
        <v>16</v>
      </c>
      <c r="F24" s="18" t="s">
        <v>16</v>
      </c>
      <c r="G24" s="18" t="s">
        <v>16</v>
      </c>
      <c r="H24" s="18" t="s">
        <v>16</v>
      </c>
      <c r="I24" s="18" t="s">
        <v>16</v>
      </c>
      <c r="J24" s="18">
        <v>9910.0</v>
      </c>
    </row>
    <row r="25">
      <c r="A25" s="7"/>
      <c r="B25" s="20" t="s">
        <v>53</v>
      </c>
      <c r="C25" s="21" t="s">
        <v>55</v>
      </c>
      <c r="D25" s="21">
        <v>751000.0</v>
      </c>
      <c r="E25" s="18">
        <v>693.0</v>
      </c>
      <c r="F25" s="18">
        <v>18.0</v>
      </c>
      <c r="G25" s="18">
        <v>11.0</v>
      </c>
      <c r="H25" s="18">
        <v>7.0</v>
      </c>
      <c r="I25" s="18">
        <v>11.0</v>
      </c>
      <c r="J25" s="12">
        <f t="shared" ref="J25:J44" si="1">SUM(E25:I25)</f>
        <v>740</v>
      </c>
    </row>
    <row r="26">
      <c r="A26" s="7"/>
      <c r="B26" s="20" t="s">
        <v>57</v>
      </c>
      <c r="C26" s="21" t="s">
        <v>55</v>
      </c>
      <c r="D26" s="21">
        <v>695043.0</v>
      </c>
      <c r="E26" s="18">
        <v>459.0</v>
      </c>
      <c r="F26" s="18">
        <v>10.0</v>
      </c>
      <c r="G26" s="18">
        <v>9.0</v>
      </c>
      <c r="H26" s="18">
        <v>3.0</v>
      </c>
      <c r="I26" s="18">
        <v>12.0</v>
      </c>
      <c r="J26" s="12">
        <f t="shared" si="1"/>
        <v>493</v>
      </c>
    </row>
    <row r="27">
      <c r="A27" s="7"/>
      <c r="B27" s="20" t="s">
        <v>59</v>
      </c>
      <c r="C27" s="31" t="s">
        <v>55</v>
      </c>
      <c r="D27" s="31">
        <v>259166.0</v>
      </c>
      <c r="E27" s="9">
        <v>297.0</v>
      </c>
      <c r="F27" s="9">
        <v>21.0</v>
      </c>
      <c r="G27" s="9">
        <v>10.0</v>
      </c>
      <c r="H27" s="9">
        <v>5.0</v>
      </c>
      <c r="I27" s="9">
        <v>10.0</v>
      </c>
      <c r="J27" s="12">
        <f t="shared" si="1"/>
        <v>343</v>
      </c>
    </row>
    <row r="28" ht="16.5" customHeight="1">
      <c r="A28" s="7"/>
      <c r="B28" s="20" t="s">
        <v>61</v>
      </c>
      <c r="C28" s="31" t="s">
        <v>55</v>
      </c>
      <c r="D28" s="18">
        <v>80727.0</v>
      </c>
      <c r="E28" s="21">
        <v>218.0</v>
      </c>
      <c r="F28" s="18">
        <v>2.0</v>
      </c>
      <c r="G28" s="18">
        <v>4.0</v>
      </c>
      <c r="H28" s="18">
        <v>6.0</v>
      </c>
      <c r="I28" s="18">
        <v>9.0</v>
      </c>
      <c r="J28" s="15">
        <f t="shared" si="1"/>
        <v>239</v>
      </c>
    </row>
    <row r="29" ht="16.5" customHeight="1">
      <c r="A29" s="7"/>
      <c r="B29" s="20" t="s">
        <v>63</v>
      </c>
      <c r="C29" s="18" t="s">
        <v>65</v>
      </c>
      <c r="D29" s="18" t="s">
        <v>66</v>
      </c>
      <c r="E29" s="21">
        <v>2868.0</v>
      </c>
      <c r="F29" s="18">
        <v>159.0</v>
      </c>
      <c r="G29" s="18">
        <v>115.0</v>
      </c>
      <c r="H29" s="18">
        <v>7.0</v>
      </c>
      <c r="I29" s="18">
        <v>7.0</v>
      </c>
      <c r="J29" s="15">
        <f t="shared" si="1"/>
        <v>3156</v>
      </c>
    </row>
    <row r="30">
      <c r="A30" s="7"/>
      <c r="B30" s="20" t="s">
        <v>67</v>
      </c>
      <c r="C30" s="21" t="s">
        <v>65</v>
      </c>
      <c r="D30" s="21">
        <v>53200.0</v>
      </c>
      <c r="E30" s="18">
        <v>836.0</v>
      </c>
      <c r="F30" s="18">
        <v>45.0</v>
      </c>
      <c r="G30" s="18">
        <v>57.0</v>
      </c>
      <c r="H30" s="18">
        <v>6.0</v>
      </c>
      <c r="I30" s="18">
        <v>12.0</v>
      </c>
      <c r="J30" s="12">
        <f t="shared" si="1"/>
        <v>956</v>
      </c>
    </row>
    <row r="31">
      <c r="A31" s="7"/>
      <c r="B31" s="20" t="s">
        <v>70</v>
      </c>
      <c r="C31" s="31" t="s">
        <v>65</v>
      </c>
      <c r="D31" s="31">
        <v>722000.0</v>
      </c>
      <c r="E31" s="9">
        <v>814.0</v>
      </c>
      <c r="F31" s="9">
        <v>84.0</v>
      </c>
      <c r="G31" s="9">
        <v>3.0</v>
      </c>
      <c r="H31" s="9">
        <v>12.0</v>
      </c>
      <c r="I31" s="9">
        <v>17.0</v>
      </c>
      <c r="J31" s="12">
        <f t="shared" si="1"/>
        <v>930</v>
      </c>
    </row>
    <row r="32">
      <c r="A32" s="7"/>
      <c r="B32" s="20" t="s">
        <v>72</v>
      </c>
      <c r="C32" s="31" t="s">
        <v>65</v>
      </c>
      <c r="D32" s="21">
        <v>165000.0</v>
      </c>
      <c r="E32" s="21">
        <v>334.0</v>
      </c>
      <c r="F32" s="18">
        <v>46.0</v>
      </c>
      <c r="G32" s="18">
        <v>1.0</v>
      </c>
      <c r="H32" s="18">
        <v>8.0</v>
      </c>
      <c r="I32" s="18">
        <v>6.0</v>
      </c>
      <c r="J32" s="15">
        <f t="shared" si="1"/>
        <v>395</v>
      </c>
    </row>
    <row r="33">
      <c r="A33" s="7"/>
      <c r="B33" s="20" t="s">
        <v>74</v>
      </c>
      <c r="C33" s="21" t="s">
        <v>75</v>
      </c>
      <c r="D33" s="21">
        <v>509000.0</v>
      </c>
      <c r="E33" s="21">
        <v>1847.0</v>
      </c>
      <c r="F33" s="18">
        <v>2.0</v>
      </c>
      <c r="G33" s="18">
        <v>6.0</v>
      </c>
      <c r="H33" s="18">
        <v>6.0</v>
      </c>
      <c r="I33" s="18">
        <v>4.0</v>
      </c>
      <c r="J33" s="15">
        <f t="shared" si="1"/>
        <v>1865</v>
      </c>
    </row>
    <row r="34">
      <c r="A34" s="7"/>
      <c r="B34" s="20" t="s">
        <v>77</v>
      </c>
      <c r="C34" s="21" t="s">
        <v>75</v>
      </c>
      <c r="D34" s="21">
        <v>6941.0</v>
      </c>
      <c r="E34" s="18">
        <v>56.0</v>
      </c>
      <c r="F34" s="18">
        <v>3.0</v>
      </c>
      <c r="G34" s="18">
        <v>1.0</v>
      </c>
      <c r="H34" s="18">
        <v>6.0</v>
      </c>
      <c r="I34" s="18">
        <v>3.0</v>
      </c>
      <c r="J34" s="12">
        <f t="shared" si="1"/>
        <v>69</v>
      </c>
    </row>
    <row r="35">
      <c r="A35" s="7"/>
      <c r="B35" s="20" t="s">
        <v>78</v>
      </c>
      <c r="C35" s="21" t="s">
        <v>75</v>
      </c>
      <c r="D35" s="21">
        <v>4833.0</v>
      </c>
      <c r="E35" s="21">
        <v>96.0</v>
      </c>
      <c r="F35" s="18">
        <v>4.0</v>
      </c>
      <c r="G35" s="18">
        <v>0.0</v>
      </c>
      <c r="H35" s="18">
        <v>1.0</v>
      </c>
      <c r="I35" s="18">
        <v>1.0</v>
      </c>
      <c r="J35" s="15">
        <f t="shared" si="1"/>
        <v>102</v>
      </c>
    </row>
    <row r="36">
      <c r="A36" s="7"/>
      <c r="B36" s="20" t="s">
        <v>80</v>
      </c>
      <c r="C36" s="21" t="s">
        <v>82</v>
      </c>
      <c r="D36" s="21">
        <v>156000.0</v>
      </c>
      <c r="E36" s="18">
        <v>4867.0</v>
      </c>
      <c r="F36" s="18">
        <v>30.0</v>
      </c>
      <c r="G36" s="18">
        <v>17.0</v>
      </c>
      <c r="H36" s="18">
        <v>32.0</v>
      </c>
      <c r="I36" s="18">
        <v>21.0</v>
      </c>
      <c r="J36" s="12">
        <f t="shared" si="1"/>
        <v>4967</v>
      </c>
    </row>
    <row r="37">
      <c r="A37" s="7"/>
      <c r="B37" s="20" t="s">
        <v>84</v>
      </c>
      <c r="C37" s="21" t="s">
        <v>85</v>
      </c>
      <c r="D37" s="21">
        <v>995993.0</v>
      </c>
      <c r="E37" s="18">
        <v>1000.0</v>
      </c>
      <c r="F37" s="18">
        <v>9.0</v>
      </c>
      <c r="G37" s="18">
        <v>2.0</v>
      </c>
      <c r="H37" s="18">
        <v>10.0</v>
      </c>
      <c r="I37" s="18">
        <v>11.0</v>
      </c>
      <c r="J37" s="12">
        <f t="shared" si="1"/>
        <v>1032</v>
      </c>
    </row>
    <row r="38">
      <c r="A38" s="7"/>
      <c r="B38" s="20" t="s">
        <v>87</v>
      </c>
      <c r="C38" s="21" t="s">
        <v>85</v>
      </c>
      <c r="D38" s="21">
        <v>798000.0</v>
      </c>
      <c r="E38" s="18">
        <v>326.0</v>
      </c>
      <c r="F38" s="18">
        <v>9.0</v>
      </c>
      <c r="G38" s="18">
        <v>4.0</v>
      </c>
      <c r="H38" s="18">
        <v>3.0</v>
      </c>
      <c r="I38" s="18">
        <v>3.0</v>
      </c>
      <c r="J38" s="12">
        <f t="shared" si="1"/>
        <v>345</v>
      </c>
    </row>
    <row r="39">
      <c r="A39" s="7"/>
      <c r="B39" s="20" t="s">
        <v>88</v>
      </c>
      <c r="C39" s="21" t="s">
        <v>85</v>
      </c>
      <c r="D39" s="21">
        <v>506085.0</v>
      </c>
      <c r="E39" s="18">
        <v>117.0</v>
      </c>
      <c r="F39" s="18">
        <v>26.0</v>
      </c>
      <c r="G39" s="18">
        <v>3.0</v>
      </c>
      <c r="H39" s="18">
        <v>2.0</v>
      </c>
      <c r="I39" s="18">
        <v>4.0</v>
      </c>
      <c r="J39" s="12">
        <f t="shared" si="1"/>
        <v>152</v>
      </c>
    </row>
    <row r="40">
      <c r="A40" s="7"/>
      <c r="B40" s="20" t="s">
        <v>89</v>
      </c>
      <c r="C40" s="31" t="s">
        <v>85</v>
      </c>
      <c r="D40" s="31">
        <v>189455.0</v>
      </c>
      <c r="E40" s="9">
        <v>240.0</v>
      </c>
      <c r="F40" s="9">
        <v>71.0</v>
      </c>
      <c r="G40" s="9">
        <v>19.0</v>
      </c>
      <c r="H40" s="9">
        <v>0.0</v>
      </c>
      <c r="I40" s="9">
        <v>9.0</v>
      </c>
      <c r="J40" s="12">
        <f t="shared" si="1"/>
        <v>339</v>
      </c>
    </row>
    <row r="41">
      <c r="A41" s="7"/>
      <c r="B41" s="20" t="s">
        <v>90</v>
      </c>
      <c r="C41" s="21" t="s">
        <v>91</v>
      </c>
      <c r="D41" s="21">
        <v>92300.0</v>
      </c>
      <c r="E41" s="21">
        <v>3790.0</v>
      </c>
      <c r="F41" s="18">
        <v>573.0</v>
      </c>
      <c r="G41" s="18">
        <v>45.0</v>
      </c>
      <c r="H41" s="18">
        <v>279.0</v>
      </c>
      <c r="I41" s="18">
        <v>43.0</v>
      </c>
      <c r="J41" s="15">
        <f t="shared" si="1"/>
        <v>4730</v>
      </c>
    </row>
    <row r="42">
      <c r="A42" s="7"/>
      <c r="B42" s="20" t="s">
        <v>92</v>
      </c>
      <c r="C42" s="21" t="s">
        <v>91</v>
      </c>
      <c r="D42" s="21">
        <v>121000.0</v>
      </c>
      <c r="E42" s="21">
        <v>2932.0</v>
      </c>
      <c r="F42" s="18">
        <v>446.0</v>
      </c>
      <c r="G42" s="18">
        <v>48.0</v>
      </c>
      <c r="H42" s="18">
        <v>89.0</v>
      </c>
      <c r="I42" s="18">
        <v>115.0</v>
      </c>
      <c r="J42" s="15">
        <f t="shared" si="1"/>
        <v>3630</v>
      </c>
    </row>
    <row r="43">
      <c r="A43" s="7"/>
      <c r="B43" s="8" t="s">
        <v>93</v>
      </c>
      <c r="C43" s="11" t="s">
        <v>91</v>
      </c>
      <c r="D43" s="11">
        <v>37400.0</v>
      </c>
      <c r="E43" s="11">
        <v>1702.0</v>
      </c>
      <c r="F43" s="13">
        <v>510.0</v>
      </c>
      <c r="G43" s="13">
        <v>36.0</v>
      </c>
      <c r="H43" s="13">
        <v>351.0</v>
      </c>
      <c r="I43" s="13">
        <v>38.0</v>
      </c>
      <c r="J43" s="15">
        <f t="shared" si="1"/>
        <v>2637</v>
      </c>
    </row>
    <row r="44">
      <c r="A44" s="7"/>
      <c r="B44" s="20" t="s">
        <v>94</v>
      </c>
      <c r="C44" s="11" t="s">
        <v>91</v>
      </c>
      <c r="D44" s="21">
        <v>81696.0</v>
      </c>
      <c r="E44" s="18">
        <v>2200.0</v>
      </c>
      <c r="F44" s="18">
        <v>451.0</v>
      </c>
      <c r="G44" s="18">
        <v>299.0</v>
      </c>
      <c r="H44" s="18">
        <v>36.0</v>
      </c>
      <c r="I44" s="18">
        <v>78.0</v>
      </c>
      <c r="J44" s="12">
        <f t="shared" si="1"/>
        <v>3064</v>
      </c>
    </row>
    <row r="45">
      <c r="A45" s="7"/>
      <c r="B45" s="16" t="s">
        <v>14</v>
      </c>
      <c r="C45" s="11" t="s">
        <v>91</v>
      </c>
      <c r="D45" s="21">
        <v>91129.0</v>
      </c>
      <c r="E45" s="18" t="s">
        <v>16</v>
      </c>
      <c r="F45" s="18" t="s">
        <v>16</v>
      </c>
      <c r="G45" s="18" t="s">
        <v>16</v>
      </c>
      <c r="H45" s="18" t="s">
        <v>16</v>
      </c>
      <c r="I45" s="18" t="s">
        <v>16</v>
      </c>
      <c r="J45" s="18">
        <v>346.0</v>
      </c>
    </row>
    <row r="46">
      <c r="A46" s="7"/>
      <c r="B46" s="16" t="s">
        <v>17</v>
      </c>
      <c r="C46" s="11" t="s">
        <v>91</v>
      </c>
      <c r="D46" s="21">
        <v>39190.0</v>
      </c>
      <c r="E46" s="18" t="s">
        <v>16</v>
      </c>
      <c r="F46" s="18" t="s">
        <v>16</v>
      </c>
      <c r="G46" s="18" t="s">
        <v>16</v>
      </c>
      <c r="H46" s="18" t="s">
        <v>16</v>
      </c>
      <c r="I46" s="18" t="s">
        <v>16</v>
      </c>
      <c r="J46" s="18">
        <v>162.0</v>
      </c>
    </row>
    <row r="47">
      <c r="A47" s="7"/>
      <c r="B47" s="20" t="s">
        <v>95</v>
      </c>
      <c r="C47" s="21" t="s">
        <v>96</v>
      </c>
      <c r="D47" s="21">
        <v>21000.0</v>
      </c>
      <c r="E47" s="18">
        <v>70.0</v>
      </c>
      <c r="F47" s="18">
        <v>1.0</v>
      </c>
      <c r="G47" s="18">
        <v>2.0</v>
      </c>
      <c r="H47" s="18">
        <v>0.0</v>
      </c>
      <c r="I47" s="18">
        <v>5.0</v>
      </c>
      <c r="J47" s="12">
        <f t="shared" ref="J47:J58" si="2">SUM(E47:I47)</f>
        <v>78</v>
      </c>
    </row>
    <row r="48" ht="15.0" customHeight="1">
      <c r="A48" s="7"/>
      <c r="B48" s="20" t="s">
        <v>97</v>
      </c>
      <c r="C48" s="21" t="s">
        <v>96</v>
      </c>
      <c r="D48" s="21">
        <v>20300.0</v>
      </c>
      <c r="E48" s="18">
        <v>59.0</v>
      </c>
      <c r="F48" s="18">
        <v>0.0</v>
      </c>
      <c r="G48" s="18">
        <v>0.0</v>
      </c>
      <c r="H48" s="18">
        <v>1.0</v>
      </c>
      <c r="I48" s="18">
        <v>3.0</v>
      </c>
      <c r="J48" s="12">
        <f t="shared" si="2"/>
        <v>63</v>
      </c>
    </row>
    <row r="49">
      <c r="A49" s="7"/>
      <c r="B49" s="20" t="s">
        <v>98</v>
      </c>
      <c r="C49" s="36" t="s">
        <v>96</v>
      </c>
      <c r="D49" s="36">
        <v>2971.0</v>
      </c>
      <c r="E49" s="18">
        <v>16.0</v>
      </c>
      <c r="F49" s="18">
        <v>0.0</v>
      </c>
      <c r="G49" s="18">
        <v>1.0</v>
      </c>
      <c r="H49" s="18">
        <v>0.0</v>
      </c>
      <c r="I49" s="18">
        <v>1.0</v>
      </c>
      <c r="J49" s="12">
        <f t="shared" si="2"/>
        <v>18</v>
      </c>
    </row>
    <row r="50">
      <c r="A50" s="7"/>
      <c r="B50" s="20" t="s">
        <v>99</v>
      </c>
      <c r="C50" s="21" t="s">
        <v>96</v>
      </c>
      <c r="D50" s="21">
        <v>72000.0</v>
      </c>
      <c r="E50" s="18">
        <v>42.0</v>
      </c>
      <c r="F50" s="18">
        <v>4.0</v>
      </c>
      <c r="G50" s="18">
        <v>0.0</v>
      </c>
      <c r="H50" s="18">
        <v>2.0</v>
      </c>
      <c r="I50" s="18">
        <v>0.0</v>
      </c>
      <c r="J50" s="12">
        <f t="shared" si="2"/>
        <v>48</v>
      </c>
    </row>
    <row r="51">
      <c r="A51" s="7"/>
      <c r="B51" s="37" t="s">
        <v>100</v>
      </c>
      <c r="C51" s="21" t="s">
        <v>101</v>
      </c>
      <c r="D51" s="21">
        <v>549000.0</v>
      </c>
      <c r="E51" s="21">
        <v>2610.0</v>
      </c>
      <c r="F51" s="18">
        <v>28.0</v>
      </c>
      <c r="G51" s="18">
        <v>29.0</v>
      </c>
      <c r="H51" s="18">
        <v>7.0</v>
      </c>
      <c r="I51" s="18">
        <v>2.0</v>
      </c>
      <c r="J51" s="15">
        <f t="shared" si="2"/>
        <v>2676</v>
      </c>
    </row>
    <row r="52">
      <c r="A52" s="7"/>
      <c r="B52" s="20" t="s">
        <v>102</v>
      </c>
      <c r="C52" s="21" t="s">
        <v>101</v>
      </c>
      <c r="D52" s="21">
        <v>44800.0</v>
      </c>
      <c r="E52" s="18">
        <v>663.0</v>
      </c>
      <c r="F52" s="18">
        <v>5.0</v>
      </c>
      <c r="G52" s="18">
        <v>0.0</v>
      </c>
      <c r="H52" s="18">
        <v>1.0</v>
      </c>
      <c r="I52" s="18">
        <v>4.0</v>
      </c>
      <c r="J52" s="12">
        <f t="shared" si="2"/>
        <v>673</v>
      </c>
    </row>
    <row r="53">
      <c r="A53" s="7"/>
      <c r="B53" s="20" t="s">
        <v>103</v>
      </c>
      <c r="C53" s="31" t="s">
        <v>101</v>
      </c>
      <c r="D53" s="31">
        <v>16000.0</v>
      </c>
      <c r="E53" s="9">
        <v>612.0</v>
      </c>
      <c r="F53" s="9">
        <v>2.0</v>
      </c>
      <c r="G53" s="9">
        <v>1.0</v>
      </c>
      <c r="H53" s="9">
        <v>3.0</v>
      </c>
      <c r="I53" s="9">
        <v>5.0</v>
      </c>
      <c r="J53" s="12">
        <f t="shared" si="2"/>
        <v>623</v>
      </c>
    </row>
    <row r="54">
      <c r="A54" s="7"/>
      <c r="B54" s="20" t="s">
        <v>104</v>
      </c>
      <c r="C54" s="21" t="s">
        <v>105</v>
      </c>
      <c r="D54" s="21">
        <v>90500.0</v>
      </c>
      <c r="E54" s="21">
        <v>2338.0</v>
      </c>
      <c r="F54" s="18">
        <v>206.0</v>
      </c>
      <c r="G54" s="18">
        <v>136.0</v>
      </c>
      <c r="H54" s="18">
        <v>50.0</v>
      </c>
      <c r="I54" s="18">
        <v>17.0</v>
      </c>
      <c r="J54" s="15">
        <f t="shared" si="2"/>
        <v>2747</v>
      </c>
    </row>
    <row r="55">
      <c r="A55" s="7"/>
      <c r="B55" s="8" t="s">
        <v>106</v>
      </c>
      <c r="C55" s="11" t="s">
        <v>105</v>
      </c>
      <c r="D55" s="11">
        <v>65900.0</v>
      </c>
      <c r="E55" s="11">
        <v>1691.0</v>
      </c>
      <c r="F55" s="13">
        <v>18.0</v>
      </c>
      <c r="G55" s="13">
        <v>36.0</v>
      </c>
      <c r="H55" s="13">
        <v>21.0</v>
      </c>
      <c r="I55" s="13">
        <v>21.0</v>
      </c>
      <c r="J55" s="15">
        <f t="shared" si="2"/>
        <v>1787</v>
      </c>
    </row>
    <row r="56">
      <c r="A56" s="7"/>
      <c r="B56" s="8" t="s">
        <v>107</v>
      </c>
      <c r="C56" s="11" t="s">
        <v>105</v>
      </c>
      <c r="D56" s="31">
        <v>75100.0</v>
      </c>
      <c r="E56" s="11">
        <v>1261.0</v>
      </c>
      <c r="F56" s="13">
        <v>94.0</v>
      </c>
      <c r="G56" s="13">
        <v>8.0</v>
      </c>
      <c r="H56" s="13">
        <v>12.0</v>
      </c>
      <c r="I56" s="13">
        <v>4.0</v>
      </c>
      <c r="J56" s="15">
        <f t="shared" si="2"/>
        <v>1379</v>
      </c>
    </row>
    <row r="57">
      <c r="A57" s="7"/>
      <c r="B57" s="8" t="s">
        <v>108</v>
      </c>
      <c r="C57" s="31" t="s">
        <v>105</v>
      </c>
      <c r="D57" s="31">
        <v>89300.0</v>
      </c>
      <c r="E57" s="11">
        <v>1025.0</v>
      </c>
      <c r="F57" s="13">
        <v>9.0</v>
      </c>
      <c r="G57" s="13">
        <v>14.0</v>
      </c>
      <c r="H57" s="13">
        <v>14.0</v>
      </c>
      <c r="I57" s="13">
        <v>6.0</v>
      </c>
      <c r="J57" s="15">
        <f t="shared" si="2"/>
        <v>1068</v>
      </c>
    </row>
    <row r="58" ht="24.0" customHeight="1">
      <c r="A58" s="7"/>
      <c r="B58" s="20" t="s">
        <v>109</v>
      </c>
      <c r="C58" s="31" t="s">
        <v>105</v>
      </c>
      <c r="D58" s="21">
        <v>44300.0</v>
      </c>
      <c r="E58" s="21">
        <v>361.0</v>
      </c>
      <c r="F58" s="18">
        <v>5.0</v>
      </c>
      <c r="G58" s="18">
        <v>0.0</v>
      </c>
      <c r="H58" s="18">
        <v>4.0</v>
      </c>
      <c r="I58" s="18">
        <v>2.0</v>
      </c>
      <c r="J58" s="15">
        <f t="shared" si="2"/>
        <v>372</v>
      </c>
    </row>
    <row r="59" ht="24.75" customHeight="1">
      <c r="A59" s="7"/>
      <c r="B59" s="16" t="s">
        <v>110</v>
      </c>
      <c r="C59" s="31" t="s">
        <v>105</v>
      </c>
      <c r="D59" s="21">
        <v>17919.0</v>
      </c>
      <c r="E59" s="21" t="s">
        <v>16</v>
      </c>
      <c r="F59" s="18" t="s">
        <v>16</v>
      </c>
      <c r="G59" s="18" t="s">
        <v>16</v>
      </c>
      <c r="H59" s="18" t="s">
        <v>16</v>
      </c>
      <c r="I59" s="18" t="s">
        <v>16</v>
      </c>
      <c r="J59" s="18">
        <v>56.0</v>
      </c>
    </row>
    <row r="60" ht="15.0" customHeight="1">
      <c r="A60" s="7"/>
      <c r="B60" s="20" t="s">
        <v>111</v>
      </c>
      <c r="C60" s="21" t="s">
        <v>112</v>
      </c>
      <c r="D60" s="21">
        <v>348000.0</v>
      </c>
      <c r="E60" s="21">
        <v>2105.0</v>
      </c>
      <c r="F60" s="18">
        <v>43.0</v>
      </c>
      <c r="G60" s="18">
        <v>15.0</v>
      </c>
      <c r="H60" s="18">
        <v>9.0</v>
      </c>
      <c r="I60" s="18">
        <v>4.0</v>
      </c>
      <c r="J60" s="15">
        <f t="shared" ref="J60:J66" si="3">SUM(E60:I60)</f>
        <v>2176</v>
      </c>
    </row>
    <row r="61">
      <c r="A61" s="7"/>
      <c r="B61" s="20" t="s">
        <v>113</v>
      </c>
      <c r="C61" s="21" t="s">
        <v>112</v>
      </c>
      <c r="D61" s="31">
        <v>97700.0</v>
      </c>
      <c r="E61" s="31">
        <v>641.0</v>
      </c>
      <c r="F61" s="9">
        <v>23.0</v>
      </c>
      <c r="G61" s="9">
        <v>2.0</v>
      </c>
      <c r="H61" s="9">
        <v>2.0</v>
      </c>
      <c r="I61" s="9">
        <v>1.0</v>
      </c>
      <c r="J61" s="15">
        <f t="shared" si="3"/>
        <v>669</v>
      </c>
    </row>
    <row r="62">
      <c r="A62" s="7"/>
      <c r="B62" s="20" t="s">
        <v>114</v>
      </c>
      <c r="C62" s="21" t="s">
        <v>112</v>
      </c>
      <c r="D62" s="31">
        <v>135000.0</v>
      </c>
      <c r="E62" s="31">
        <v>431.0</v>
      </c>
      <c r="F62" s="9">
        <v>9.0</v>
      </c>
      <c r="G62" s="9">
        <v>4.0</v>
      </c>
      <c r="H62" s="9">
        <v>1.0</v>
      </c>
      <c r="I62" s="9">
        <v>2.0</v>
      </c>
      <c r="J62" s="15">
        <f t="shared" si="3"/>
        <v>447</v>
      </c>
    </row>
    <row r="63">
      <c r="A63" s="7"/>
      <c r="B63" s="20" t="s">
        <v>115</v>
      </c>
      <c r="C63" s="31" t="s">
        <v>116</v>
      </c>
      <c r="D63" s="31">
        <v>274000.0</v>
      </c>
      <c r="E63" s="31">
        <v>1224.0</v>
      </c>
      <c r="F63" s="9">
        <v>45.0</v>
      </c>
      <c r="G63" s="9">
        <v>33.0</v>
      </c>
      <c r="H63" s="9">
        <v>26.0</v>
      </c>
      <c r="I63" s="9">
        <v>18.0</v>
      </c>
      <c r="J63" s="15">
        <f t="shared" si="3"/>
        <v>1346</v>
      </c>
    </row>
    <row r="64">
      <c r="A64" s="7"/>
      <c r="B64" s="20" t="s">
        <v>117</v>
      </c>
      <c r="C64" s="31" t="s">
        <v>116</v>
      </c>
      <c r="D64" s="31">
        <v>908000.0</v>
      </c>
      <c r="E64" s="31">
        <v>2909.0</v>
      </c>
      <c r="F64" s="9">
        <v>205.0</v>
      </c>
      <c r="G64" s="9">
        <v>33.0</v>
      </c>
      <c r="H64" s="9">
        <v>49.0</v>
      </c>
      <c r="I64" s="9">
        <v>56.0</v>
      </c>
      <c r="J64" s="15">
        <f t="shared" si="3"/>
        <v>3252</v>
      </c>
    </row>
    <row r="65">
      <c r="A65" s="7"/>
      <c r="B65" s="20" t="s">
        <v>118</v>
      </c>
      <c r="C65" s="31" t="s">
        <v>119</v>
      </c>
      <c r="D65" s="31">
        <v>443387.0</v>
      </c>
      <c r="E65" s="31">
        <v>10451.0</v>
      </c>
      <c r="F65" s="9">
        <v>132.0</v>
      </c>
      <c r="G65" s="9">
        <v>118.0</v>
      </c>
      <c r="H65" s="9">
        <v>191.0</v>
      </c>
      <c r="I65" s="9">
        <v>126.0</v>
      </c>
      <c r="J65" s="15">
        <f t="shared" si="3"/>
        <v>11018</v>
      </c>
    </row>
    <row r="66">
      <c r="A66" s="7"/>
      <c r="B66" s="20" t="s">
        <v>120</v>
      </c>
      <c r="C66" s="31" t="s">
        <v>121</v>
      </c>
      <c r="D66" s="31">
        <v>520000.0</v>
      </c>
      <c r="E66" s="31">
        <v>1869.0</v>
      </c>
      <c r="F66" s="9">
        <v>66.0</v>
      </c>
      <c r="G66" s="9">
        <v>7.0</v>
      </c>
      <c r="H66" s="9">
        <v>26.0</v>
      </c>
      <c r="I66" s="9">
        <v>14.0</v>
      </c>
      <c r="J66" s="15">
        <f t="shared" si="3"/>
        <v>1982</v>
      </c>
    </row>
    <row r="69">
      <c r="J69" s="12"/>
    </row>
  </sheetData>
  <mergeCells count="10">
    <mergeCell ref="H1:H2"/>
    <mergeCell ref="I1:I2"/>
    <mergeCell ref="J1:J2"/>
    <mergeCell ref="A1:A2"/>
    <mergeCell ref="B1:B2"/>
    <mergeCell ref="C1:C2"/>
    <mergeCell ref="D1:D2"/>
    <mergeCell ref="E1:E2"/>
    <mergeCell ref="F1:F2"/>
    <mergeCell ref="G1:G2"/>
  </mergeCells>
  <hyperlinks>
    <hyperlink r:id="rId1" ref="B3"/>
    <hyperlink r:id="rId2" ref="B8"/>
    <hyperlink r:id="rId3" ref="B13"/>
    <hyperlink r:id="rId4" ref="B19"/>
    <hyperlink r:id="rId5" ref="B23"/>
    <hyperlink r:id="rId6" ref="B25"/>
    <hyperlink r:id="rId7" ref="B26"/>
    <hyperlink r:id="rId8" ref="B27"/>
    <hyperlink r:id="rId9" ref="B28"/>
    <hyperlink r:id="rId10" ref="B29"/>
    <hyperlink r:id="rId11" ref="B30"/>
    <hyperlink r:id="rId12" ref="B31"/>
    <hyperlink r:id="rId13" ref="B32"/>
    <hyperlink r:id="rId14" ref="B33"/>
    <hyperlink r:id="rId15" ref="B34"/>
    <hyperlink r:id="rId16" ref="B35"/>
    <hyperlink r:id="rId17" ref="B36"/>
    <hyperlink r:id="rId18" ref="B37"/>
    <hyperlink r:id="rId19" ref="B38"/>
    <hyperlink r:id="rId20" ref="B39"/>
    <hyperlink r:id="rId21" ref="B40"/>
    <hyperlink r:id="rId22" ref="B41"/>
    <hyperlink r:id="rId23" ref="B42"/>
    <hyperlink r:id="rId24" ref="B43"/>
    <hyperlink r:id="rId25" ref="B44"/>
    <hyperlink r:id="rId26" ref="B47"/>
    <hyperlink r:id="rId27" ref="B48"/>
    <hyperlink r:id="rId28" ref="B49"/>
    <hyperlink r:id="rId29" ref="B50"/>
    <hyperlink r:id="rId30" ref="B51"/>
    <hyperlink r:id="rId31" ref="B52"/>
    <hyperlink r:id="rId32" ref="B53"/>
    <hyperlink r:id="rId33" ref="B54"/>
    <hyperlink r:id="rId34" ref="B55"/>
    <hyperlink r:id="rId35" ref="B56"/>
    <hyperlink r:id="rId36" ref="B57"/>
    <hyperlink r:id="rId37" ref="B58"/>
    <hyperlink r:id="rId38" ref="B60"/>
    <hyperlink r:id="rId39" ref="B61"/>
    <hyperlink r:id="rId40" ref="B62"/>
    <hyperlink r:id="rId41" ref="B63"/>
    <hyperlink r:id="rId42" ref="B64"/>
    <hyperlink r:id="rId43" ref="B65"/>
    <hyperlink r:id="rId44" ref="B66"/>
  </hyperlinks>
  <drawing r:id="rId45"/>
</worksheet>
</file>